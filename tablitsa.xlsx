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docProps/core.xml" ContentType="application/vnd.openxmlformats-package.core-properties+xml"/>
  <Override PartName="/xl/persons/person.xml" ContentType="application/vnd.ms-excel.person+xml"/>
  <Override PartName="/xl/worksheets/sheet2.xml" ContentType="application/vnd.openxmlformats-officedocument.spreadsheetml.worksheet+xml"/>
  <Override PartName="/xl/threadedComments/threadedComment1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2"/>
    <sheet name="Лист4" sheetId="2" state="visible" r:id="rId3"/>
    <sheet name="Лист2" sheetId="3" state="visible" r:id="rId4"/>
    <sheet name="Лист3" sheetId="4" state="visible" r:id="rId5"/>
  </sheets>
  <calcPr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tc={003400C8-000C-4901-AD9F-0059003B004C}</author>
    <author>tc={000E00F7-0050-424A-AA86-00CF008B00D2}</author>
  </authors>
  <commentList>
    <comment ref="R2" authorId="0" xr:uid="{003400C8-000C-4901-AD9F-0059003B004C}">
      <text>
        <r>
          <rPr>
            <b/>
            <sz val="9"/>
            <rFont val="Tahoma"/>
          </rPr>
          <t>Автор:</t>
        </r>
        <r>
          <rPr>
            <sz val="9"/>
            <rFont val="Tahoma"/>
          </rPr>
          <t xml:space="preserve">
Цена всех юнитов в игре уменьшена на 20%
</t>
        </r>
      </text>
    </comment>
    <comment ref="T2" authorId="1" xr:uid="{000E00F7-0050-424A-AA86-00CF008B00D2}">
      <text>
        <r>
          <rPr>
            <b/>
            <sz val="9"/>
            <rFont val="Tahoma"/>
          </rPr>
          <t>Автор:</t>
        </r>
        <r>
          <rPr>
            <sz val="9"/>
            <rFont val="Tahoma"/>
          </rPr>
          <t xml:space="preserve">
Уровень в игре влияет на приоритет получения баффов и дебаффов на урон
</t>
        </r>
      </text>
    </comment>
  </commentList>
</comments>
</file>

<file path=xl/sharedStrings.xml><?xml version="1.0" encoding="utf-8"?>
<sst xmlns="http://schemas.openxmlformats.org/spreadsheetml/2006/main" count="488" uniqueCount="488">
  <si>
    <t>АЛЬЯНС</t>
  </si>
  <si>
    <t>Урон</t>
  </si>
  <si>
    <t>Кости</t>
  </si>
  <si>
    <t>Грани</t>
  </si>
  <si>
    <t>Скорость</t>
  </si>
  <si>
    <t xml:space="preserve">Повреждение в секунду</t>
  </si>
  <si>
    <t>Дистанция</t>
  </si>
  <si>
    <t xml:space="preserve">Ц ПВС</t>
  </si>
  <si>
    <t xml:space="preserve">Н/Ц Д</t>
  </si>
  <si>
    <t>НР</t>
  </si>
  <si>
    <t>Защита</t>
  </si>
  <si>
    <t>Константа</t>
  </si>
  <si>
    <t xml:space="preserve">Эффективные жизни</t>
  </si>
  <si>
    <t xml:space="preserve">Ц ЭЖ</t>
  </si>
  <si>
    <t>Н/Ц</t>
  </si>
  <si>
    <t>Цена</t>
  </si>
  <si>
    <t>Уровень</t>
  </si>
  <si>
    <t>Дум</t>
  </si>
  <si>
    <t>Крестьянин</t>
  </si>
  <si>
    <t>Ополченец</t>
  </si>
  <si>
    <t>Старейшина</t>
  </si>
  <si>
    <t>Лучник</t>
  </si>
  <si>
    <t>Арбалетчик</t>
  </si>
  <si>
    <t>Длиннолучник</t>
  </si>
  <si>
    <t>Пехотинец</t>
  </si>
  <si>
    <t>Капитан</t>
  </si>
  <si>
    <t>Ветеран</t>
  </si>
  <si>
    <t xml:space="preserve">Жрец войны</t>
  </si>
  <si>
    <t>Целитель</t>
  </si>
  <si>
    <t>Инквизитор</t>
  </si>
  <si>
    <t>Рыцарь</t>
  </si>
  <si>
    <t>Знамяносец</t>
  </si>
  <si>
    <t>Архимаг</t>
  </si>
  <si>
    <t>Ангел</t>
  </si>
  <si>
    <t>Архангел</t>
  </si>
  <si>
    <t>Серафим</t>
  </si>
  <si>
    <t>ОРДА</t>
  </si>
  <si>
    <t>Бугай</t>
  </si>
  <si>
    <t>ы</t>
  </si>
  <si>
    <t>Крушитель</t>
  </si>
  <si>
    <t xml:space="preserve">Мастер клинка</t>
  </si>
  <si>
    <t>Камнеметатель</t>
  </si>
  <si>
    <t>Знахарь</t>
  </si>
  <si>
    <t>Копьеметатель</t>
  </si>
  <si>
    <t xml:space="preserve">Волчий всадник</t>
  </si>
  <si>
    <t xml:space="preserve">Говорящий с дух.</t>
  </si>
  <si>
    <t xml:space="preserve">Горный всадник</t>
  </si>
  <si>
    <t xml:space="preserve">Шаман белый</t>
  </si>
  <si>
    <t xml:space="preserve">Шаман чёрный</t>
  </si>
  <si>
    <t>Колдун</t>
  </si>
  <si>
    <t>Огр</t>
  </si>
  <si>
    <t xml:space="preserve">Командир огров</t>
  </si>
  <si>
    <t>Мок'Натал</t>
  </si>
  <si>
    <t>Спиритволкер</t>
  </si>
  <si>
    <t>Таурен</t>
  </si>
  <si>
    <t>Таурен-вождь</t>
  </si>
  <si>
    <t>НЕЖИТЬ</t>
  </si>
  <si>
    <t>Зомби</t>
  </si>
  <si>
    <t xml:space="preserve">Больной зомби</t>
  </si>
  <si>
    <t>Вурдулак</t>
  </si>
  <si>
    <t>Скелет-лучник</t>
  </si>
  <si>
    <t>Могильщик</t>
  </si>
  <si>
    <t xml:space="preserve">Порч. скелет-лучн.</t>
  </si>
  <si>
    <t xml:space="preserve">Голем из плоти</t>
  </si>
  <si>
    <t>Поганище</t>
  </si>
  <si>
    <t>Взрыв-голем</t>
  </si>
  <si>
    <t>Некромант</t>
  </si>
  <si>
    <t>Некромант-маг</t>
  </si>
  <si>
    <t>Некр.-призыват.</t>
  </si>
  <si>
    <t>Вампир</t>
  </si>
  <si>
    <t xml:space="preserve">Высший вампир</t>
  </si>
  <si>
    <t>Вампир-маг</t>
  </si>
  <si>
    <t>Лич</t>
  </si>
  <si>
    <t xml:space="preserve">Ледяной рыцарь</t>
  </si>
  <si>
    <t xml:space="preserve">Рыцарь Смерти</t>
  </si>
  <si>
    <t>ЭЛЬФЫ</t>
  </si>
  <si>
    <t>Лучница</t>
  </si>
  <si>
    <t>Снайпер</t>
  </si>
  <si>
    <t>Охотница</t>
  </si>
  <si>
    <t>Воин</t>
  </si>
  <si>
    <t>Убийца</t>
  </si>
  <si>
    <t>Страж</t>
  </si>
  <si>
    <t>Энт</t>
  </si>
  <si>
    <t xml:space="preserve">Горное древо</t>
  </si>
  <si>
    <t xml:space="preserve">Древо ветров</t>
  </si>
  <si>
    <t>Друид</t>
  </si>
  <si>
    <t>Козлик</t>
  </si>
  <si>
    <t>Дриада</t>
  </si>
  <si>
    <t xml:space="preserve">Эльфийский маг</t>
  </si>
  <si>
    <t xml:space="preserve">Дикий всадник</t>
  </si>
  <si>
    <t xml:space="preserve">Знать эльфов</t>
  </si>
  <si>
    <t>Древень</t>
  </si>
  <si>
    <t xml:space="preserve">Синий Древень</t>
  </si>
  <si>
    <t xml:space="preserve">Жёлтый Древень</t>
  </si>
  <si>
    <t>НАГА</t>
  </si>
  <si>
    <t>Маргол-воин</t>
  </si>
  <si>
    <t>Маргол-знахарь</t>
  </si>
  <si>
    <t>Маргол-убийца</t>
  </si>
  <si>
    <t xml:space="preserve">Морской дракон</t>
  </si>
  <si>
    <t>Гидра</t>
  </si>
  <si>
    <t>Коатль</t>
  </si>
  <si>
    <t xml:space="preserve">Мудрец глубин</t>
  </si>
  <si>
    <t xml:space="preserve">Песочный краб</t>
  </si>
  <si>
    <t xml:space="preserve">Повел. приливов</t>
  </si>
  <si>
    <t>Нага-сирена</t>
  </si>
  <si>
    <t>Нага-заклинат.</t>
  </si>
  <si>
    <t xml:space="preserve">Морская ведьма</t>
  </si>
  <si>
    <t xml:space="preserve">Синяя черепаха</t>
  </si>
  <si>
    <t xml:space="preserve">Зелёная черепаха</t>
  </si>
  <si>
    <t xml:space="preserve">Красная черепаха</t>
  </si>
  <si>
    <t>Нага-воин</t>
  </si>
  <si>
    <t>Нага-гвардеец</t>
  </si>
  <si>
    <t xml:space="preserve">Морской великан</t>
  </si>
  <si>
    <t>ДЕМОНЫ</t>
  </si>
  <si>
    <t xml:space="preserve">Адский зверь</t>
  </si>
  <si>
    <t xml:space="preserve">Дикая гончая</t>
  </si>
  <si>
    <t>Опустошитель</t>
  </si>
  <si>
    <t>Суккуб</t>
  </si>
  <si>
    <t>Демонесса</t>
  </si>
  <si>
    <t>Ифрит</t>
  </si>
  <si>
    <t xml:space="preserve">Малый пустынник</t>
  </si>
  <si>
    <t xml:space="preserve">Высший пустынник</t>
  </si>
  <si>
    <t xml:space="preserve">Повелитель огня</t>
  </si>
  <si>
    <t>Демонопоклонник</t>
  </si>
  <si>
    <t>Чернокнижник</t>
  </si>
  <si>
    <t xml:space="preserve">Маг крови</t>
  </si>
  <si>
    <t>Кровожад</t>
  </si>
  <si>
    <t xml:space="preserve">Привратник Ада</t>
  </si>
  <si>
    <t>Разрушитель</t>
  </si>
  <si>
    <t xml:space="preserve">Пыл. колесница</t>
  </si>
  <si>
    <t xml:space="preserve">Маш. хаоса</t>
  </si>
  <si>
    <t>Инфернал</t>
  </si>
  <si>
    <t>ПРОЧИЕ</t>
  </si>
  <si>
    <t>Паладин</t>
  </si>
  <si>
    <t xml:space="preserve">Паладин 2</t>
  </si>
  <si>
    <t xml:space="preserve">Боевой кодой</t>
  </si>
  <si>
    <t>Кодой-город</t>
  </si>
  <si>
    <t xml:space="preserve">Подрывн. бригада</t>
  </si>
  <si>
    <t>Катапульта</t>
  </si>
  <si>
    <t xml:space="preserve">Горный великан</t>
  </si>
  <si>
    <t xml:space="preserve">Волш. дракон</t>
  </si>
  <si>
    <t xml:space="preserve">Герой наг 1</t>
  </si>
  <si>
    <t xml:space="preserve">Герой наг 2</t>
  </si>
  <si>
    <t xml:space="preserve">Герой наг 3</t>
  </si>
  <si>
    <t xml:space="preserve">Герой наг 4</t>
  </si>
  <si>
    <t xml:space="preserve">Герой наг 5</t>
  </si>
  <si>
    <t xml:space="preserve">Герой наг 6</t>
  </si>
  <si>
    <t xml:space="preserve">Герой наг 7</t>
  </si>
  <si>
    <t xml:space="preserve">Герой наг 8</t>
  </si>
  <si>
    <t xml:space="preserve">Герой наг 9</t>
  </si>
  <si>
    <t xml:space="preserve">Герой наг 10</t>
  </si>
  <si>
    <t xml:space="preserve">Герой наг 11</t>
  </si>
  <si>
    <t xml:space="preserve">Ц. игрока</t>
  </si>
  <si>
    <t>Волна</t>
  </si>
  <si>
    <t>Attack</t>
  </si>
  <si>
    <t>e004</t>
  </si>
  <si>
    <t>e006</t>
  </si>
  <si>
    <t>e009</t>
  </si>
  <si>
    <t>e015</t>
  </si>
  <si>
    <t>h005</t>
  </si>
  <si>
    <t>h007</t>
  </si>
  <si>
    <t>n00C</t>
  </si>
  <si>
    <t xml:space="preserve">n00F и  I</t>
  </si>
  <si>
    <t>n00M</t>
  </si>
  <si>
    <t xml:space="preserve">n00V и W</t>
  </si>
  <si>
    <t>n00X</t>
  </si>
  <si>
    <t>n015</t>
  </si>
  <si>
    <t>n019</t>
  </si>
  <si>
    <t>n01D</t>
  </si>
  <si>
    <t>n01E</t>
  </si>
  <si>
    <t>n01G</t>
  </si>
  <si>
    <t>n01N</t>
  </si>
  <si>
    <t>n01P</t>
  </si>
  <si>
    <t>o003</t>
  </si>
  <si>
    <t>o006</t>
  </si>
  <si>
    <t>o008</t>
  </si>
  <si>
    <t>o00A</t>
  </si>
  <si>
    <t>o00C</t>
  </si>
  <si>
    <t>o00D</t>
  </si>
  <si>
    <t>o00F</t>
  </si>
  <si>
    <t>o00G</t>
  </si>
  <si>
    <t>o00H</t>
  </si>
  <si>
    <t>u003</t>
  </si>
  <si>
    <t>u004</t>
  </si>
  <si>
    <t>u009</t>
  </si>
  <si>
    <t>u00A</t>
  </si>
  <si>
    <t>u01J</t>
  </si>
  <si>
    <t>Dmg</t>
  </si>
  <si>
    <t>e000</t>
  </si>
  <si>
    <t>e001</t>
  </si>
  <si>
    <t>e005</t>
  </si>
  <si>
    <t>E00e</t>
  </si>
  <si>
    <t>h002,h003</t>
  </si>
  <si>
    <t>h00A</t>
  </si>
  <si>
    <t>h01Q</t>
  </si>
  <si>
    <t>n001</t>
  </si>
  <si>
    <t>n003</t>
  </si>
  <si>
    <t>n004</t>
  </si>
  <si>
    <t>n00A</t>
  </si>
  <si>
    <t>n00Q</t>
  </si>
  <si>
    <t>n00R</t>
  </si>
  <si>
    <t>n00T</t>
  </si>
  <si>
    <t>n00W</t>
  </si>
  <si>
    <t>n00Z</t>
  </si>
  <si>
    <t>n011</t>
  </si>
  <si>
    <t>n012</t>
  </si>
  <si>
    <t>n016</t>
  </si>
  <si>
    <t>n018</t>
  </si>
  <si>
    <t>n01C</t>
  </si>
  <si>
    <t>n01J</t>
  </si>
  <si>
    <t>n01L</t>
  </si>
  <si>
    <t>n01O</t>
  </si>
  <si>
    <t>o004</t>
  </si>
  <si>
    <t>o00D+F</t>
  </si>
  <si>
    <t>u005</t>
  </si>
  <si>
    <t>u007</t>
  </si>
  <si>
    <t>u00B</t>
  </si>
  <si>
    <t>u01G</t>
  </si>
  <si>
    <t>Cast</t>
  </si>
  <si>
    <t>A00C</t>
  </si>
  <si>
    <t>A00S</t>
  </si>
  <si>
    <t>A00Z</t>
  </si>
  <si>
    <t>A012</t>
  </si>
  <si>
    <t>A014</t>
  </si>
  <si>
    <t>A017</t>
  </si>
  <si>
    <t>A018</t>
  </si>
  <si>
    <t>A019</t>
  </si>
  <si>
    <t>A01L</t>
  </si>
  <si>
    <t>A01M</t>
  </si>
  <si>
    <t>A01V</t>
  </si>
  <si>
    <t>A01W</t>
  </si>
  <si>
    <t>A025</t>
  </si>
  <si>
    <t>A02E</t>
  </si>
  <si>
    <t>A043</t>
  </si>
  <si>
    <t>A05A</t>
  </si>
  <si>
    <t>A05C</t>
  </si>
  <si>
    <t>A05D</t>
  </si>
  <si>
    <t>A05E</t>
  </si>
  <si>
    <t>A05K</t>
  </si>
  <si>
    <t>A05L</t>
  </si>
  <si>
    <t>A05N</t>
  </si>
  <si>
    <t>A05O</t>
  </si>
  <si>
    <t>A05Q</t>
  </si>
  <si>
    <t>A05X</t>
  </si>
  <si>
    <t>A05Y</t>
  </si>
  <si>
    <t>A066</t>
  </si>
  <si>
    <t>A069</t>
  </si>
  <si>
    <t>A074</t>
  </si>
  <si>
    <t>A077</t>
  </si>
  <si>
    <t>A078</t>
  </si>
  <si>
    <t>A07T</t>
  </si>
  <si>
    <t>A08P</t>
  </si>
  <si>
    <t>A08Q</t>
  </si>
  <si>
    <t>A08X</t>
  </si>
  <si>
    <t>A08Y</t>
  </si>
  <si>
    <t>A090</t>
  </si>
  <si>
    <t>A09E</t>
  </si>
  <si>
    <t>A09F</t>
  </si>
  <si>
    <t>A09H</t>
  </si>
  <si>
    <t>A09K</t>
  </si>
  <si>
    <t>A09L</t>
  </si>
  <si>
    <t>A09Z</t>
  </si>
  <si>
    <t>A0A5</t>
  </si>
  <si>
    <t>A0AF</t>
  </si>
  <si>
    <t>A0AY</t>
  </si>
  <si>
    <t>A0B0</t>
  </si>
  <si>
    <t>A0B4</t>
  </si>
  <si>
    <t>A0B6</t>
  </si>
  <si>
    <t>A0B8</t>
  </si>
  <si>
    <t>A0B9</t>
  </si>
  <si>
    <t>A0BA</t>
  </si>
  <si>
    <t>A0BB</t>
  </si>
  <si>
    <t>A0BV</t>
  </si>
  <si>
    <t>A0BW</t>
  </si>
  <si>
    <t>A0BX</t>
  </si>
  <si>
    <t>A0BY</t>
  </si>
  <si>
    <t>A0BZ</t>
  </si>
  <si>
    <t>A0CT</t>
  </si>
  <si>
    <t>A0CZ</t>
  </si>
  <si>
    <t>A0DO</t>
  </si>
  <si>
    <t>A0DP</t>
  </si>
  <si>
    <t>A0DR</t>
  </si>
  <si>
    <t>A0EP:A0EY</t>
  </si>
  <si>
    <t>---</t>
  </si>
  <si>
    <t>A0F0</t>
  </si>
  <si>
    <t>A0F2</t>
  </si>
  <si>
    <t>A0FC</t>
  </si>
  <si>
    <t>A0FH</t>
  </si>
  <si>
    <t>A0FY</t>
  </si>
  <si>
    <t>A0G1</t>
  </si>
  <si>
    <t>A0G3</t>
  </si>
  <si>
    <t>A0G4</t>
  </si>
  <si>
    <t>A0G5</t>
  </si>
  <si>
    <t>A0GC</t>
  </si>
  <si>
    <t>A0GD</t>
  </si>
  <si>
    <t>A0GF</t>
  </si>
  <si>
    <t>A0GH</t>
  </si>
  <si>
    <t>A105</t>
  </si>
  <si>
    <t>A106</t>
  </si>
  <si>
    <t>A107</t>
  </si>
  <si>
    <t>A109</t>
  </si>
  <si>
    <t xml:space="preserve">Spell Id</t>
  </si>
  <si>
    <t>acidbomb</t>
  </si>
  <si>
    <t>antimagicshell</t>
  </si>
  <si>
    <t>auraunholy</t>
  </si>
  <si>
    <t>auravampiric</t>
  </si>
  <si>
    <t>metamorphosis</t>
  </si>
  <si>
    <t>innerfire</t>
  </si>
  <si>
    <t>dispel</t>
  </si>
  <si>
    <t>polymorph</t>
  </si>
  <si>
    <t>impale</t>
  </si>
  <si>
    <t>bloodlust</t>
  </si>
  <si>
    <t>howlofterror</t>
  </si>
  <si>
    <t>firebolt</t>
  </si>
  <si>
    <t>detonate</t>
  </si>
  <si>
    <t>soulburn</t>
  </si>
  <si>
    <t>summongrizzly</t>
  </si>
  <si>
    <t>banish</t>
  </si>
  <si>
    <t>avatar</t>
  </si>
  <si>
    <t>avengerform</t>
  </si>
  <si>
    <t>barkskin</t>
  </si>
  <si>
    <t>battleroar</t>
  </si>
  <si>
    <t>immolation</t>
  </si>
  <si>
    <t>spiritlink</t>
  </si>
  <si>
    <t>stoneform</t>
  </si>
  <si>
    <t>web</t>
  </si>
  <si>
    <t>robogoblin</t>
  </si>
  <si>
    <t>purge</t>
  </si>
  <si>
    <t>lavamonster</t>
  </si>
  <si>
    <t>bearform</t>
  </si>
  <si>
    <t>berserk</t>
  </si>
  <si>
    <t>blink</t>
  </si>
  <si>
    <t>creepheal</t>
  </si>
  <si>
    <t>healingwave</t>
  </si>
  <si>
    <t>tornado</t>
  </si>
  <si>
    <t>entanglingroots</t>
  </si>
  <si>
    <t>ravenform</t>
  </si>
  <si>
    <t>lightningshield</t>
  </si>
  <si>
    <t>cannibalize</t>
  </si>
  <si>
    <t>coldarrows</t>
  </si>
  <si>
    <t>deathcoil</t>
  </si>
  <si>
    <t>slow</t>
  </si>
  <si>
    <t>flamestrike</t>
  </si>
  <si>
    <t>frostnova</t>
  </si>
  <si>
    <t>spellsteal</t>
  </si>
  <si>
    <t>webon</t>
  </si>
  <si>
    <t>revenge</t>
  </si>
  <si>
    <t>sanctuary</t>
  </si>
  <si>
    <t>volcano</t>
  </si>
  <si>
    <t>waterelemental</t>
  </si>
  <si>
    <t>sleep</t>
  </si>
  <si>
    <t>windwalk</t>
  </si>
  <si>
    <t>raisedead</t>
  </si>
  <si>
    <t>shockwave</t>
  </si>
  <si>
    <t>inferno</t>
  </si>
  <si>
    <t>stampede</t>
  </si>
  <si>
    <t>rainoffire</t>
  </si>
  <si>
    <t>wateryminion</t>
  </si>
  <si>
    <t>hex</t>
  </si>
  <si>
    <t>holybolt</t>
  </si>
  <si>
    <t>spellbook</t>
  </si>
  <si>
    <t>Каннибализм</t>
  </si>
  <si>
    <t>%</t>
  </si>
  <si>
    <t>броня</t>
  </si>
  <si>
    <t xml:space="preserve">эфф. хп.</t>
  </si>
  <si>
    <t xml:space="preserve">маг. рез.</t>
  </si>
  <si>
    <t>хп-реген</t>
  </si>
  <si>
    <t>атакспид</t>
  </si>
  <si>
    <t>урон</t>
  </si>
  <si>
    <t>дпс</t>
  </si>
  <si>
    <t>i&lt;=2j-13</t>
  </si>
  <si>
    <t>j+1-i</t>
  </si>
  <si>
    <t xml:space="preserve"> zj-xi+y=n</t>
  </si>
  <si>
    <t>9z-x+y=5</t>
  </si>
  <si>
    <t>8z-2x+y=2</t>
  </si>
  <si>
    <t>2j-i-12</t>
  </si>
  <si>
    <t>7z-x+y=1</t>
  </si>
  <si>
    <t>y=5+x-9z</t>
  </si>
  <si>
    <t>x=3-z</t>
  </si>
  <si>
    <t>y=8-10z</t>
  </si>
  <si>
    <t>7z-3+z+8-10z=1</t>
  </si>
  <si>
    <t>инферно</t>
  </si>
  <si>
    <t>анрут</t>
  </si>
  <si>
    <t>блинк</t>
  </si>
  <si>
    <t>болт</t>
  </si>
  <si>
    <t>баниш</t>
  </si>
  <si>
    <t>спеллстил</t>
  </si>
  <si>
    <t>z=2</t>
  </si>
  <si>
    <t>x=1</t>
  </si>
  <si>
    <t>y=-12</t>
  </si>
  <si>
    <t>A0GJ</t>
  </si>
  <si>
    <t>R10P</t>
  </si>
  <si>
    <t>R000</t>
  </si>
  <si>
    <t>rainofchaos</t>
  </si>
  <si>
    <t>phoenixfire</t>
  </si>
  <si>
    <t>phoenixmorph</t>
  </si>
  <si>
    <t>poisonarrows</t>
  </si>
  <si>
    <t>A0GK</t>
  </si>
  <si>
    <t>R10Y</t>
  </si>
  <si>
    <t>R004</t>
  </si>
  <si>
    <t>possession</t>
  </si>
  <si>
    <t>preservation</t>
  </si>
  <si>
    <t>A0GL</t>
  </si>
  <si>
    <t>R101</t>
  </si>
  <si>
    <t>R003</t>
  </si>
  <si>
    <t>cripple</t>
  </si>
  <si>
    <t>curse</t>
  </si>
  <si>
    <t>cyclone</t>
  </si>
  <si>
    <t>A0GM</t>
  </si>
  <si>
    <t>R110</t>
  </si>
  <si>
    <t>R005</t>
  </si>
  <si>
    <t>darkconversion</t>
  </si>
  <si>
    <t>darkportal</t>
  </si>
  <si>
    <t>darkritual</t>
  </si>
  <si>
    <t>A0GN</t>
  </si>
  <si>
    <t>R10L</t>
  </si>
  <si>
    <t>R006</t>
  </si>
  <si>
    <t>rejuvination</t>
  </si>
  <si>
    <t>darksummoning</t>
  </si>
  <si>
    <t>deathanddecay</t>
  </si>
  <si>
    <t>A0DQ</t>
  </si>
  <si>
    <t>A0GO</t>
  </si>
  <si>
    <t>R102</t>
  </si>
  <si>
    <t>R007</t>
  </si>
  <si>
    <t>restoration</t>
  </si>
  <si>
    <t>deathpact</t>
  </si>
  <si>
    <t>decouple</t>
  </si>
  <si>
    <t>defend</t>
  </si>
  <si>
    <t>G7</t>
  </si>
  <si>
    <t>A0GP</t>
  </si>
  <si>
    <t>G8</t>
  </si>
  <si>
    <t>A0GQ</t>
  </si>
  <si>
    <t>AI</t>
  </si>
  <si>
    <t>A0GR</t>
  </si>
  <si>
    <t>A0GS</t>
  </si>
  <si>
    <t>R10H</t>
  </si>
  <si>
    <t>R00A</t>
  </si>
  <si>
    <t>A0GT</t>
  </si>
  <si>
    <t>R10X</t>
  </si>
  <si>
    <t>R008</t>
  </si>
  <si>
    <t>A0GU</t>
  </si>
  <si>
    <t>R103</t>
  </si>
  <si>
    <t>R009</t>
  </si>
  <si>
    <t>A0GV</t>
  </si>
  <si>
    <t>A0GW</t>
  </si>
  <si>
    <t>R10S</t>
  </si>
  <si>
    <t>R00B</t>
  </si>
  <si>
    <t>A0GX</t>
  </si>
  <si>
    <t>R001</t>
  </si>
  <si>
    <t>R00C</t>
  </si>
  <si>
    <t>A0GY</t>
  </si>
  <si>
    <t>R105</t>
  </si>
  <si>
    <t>R00D</t>
  </si>
  <si>
    <t>A0HP</t>
  </si>
  <si>
    <t>A0HQ</t>
  </si>
  <si>
    <t>Игроки</t>
  </si>
  <si>
    <t>Коэффициент</t>
  </si>
  <si>
    <t>Время</t>
  </si>
  <si>
    <t>Голда</t>
  </si>
  <si>
    <t>Юниты</t>
  </si>
  <si>
    <t>Сумм*K</t>
  </si>
  <si>
    <t>Доход</t>
  </si>
  <si>
    <t>dmg</t>
  </si>
  <si>
    <t>hp</t>
  </si>
  <si>
    <t xml:space="preserve">С Цена</t>
  </si>
  <si>
    <t>ПВС</t>
  </si>
  <si>
    <t xml:space="preserve">СУММ Ц</t>
  </si>
  <si>
    <t>Крипы</t>
  </si>
  <si>
    <t>Крыса</t>
  </si>
  <si>
    <t xml:space="preserve">Кр. король</t>
  </si>
  <si>
    <t xml:space="preserve">Гиг. паук</t>
  </si>
  <si>
    <t>Мурлок</t>
  </si>
  <si>
    <t>Нага</t>
  </si>
  <si>
    <t>Гнолл</t>
  </si>
  <si>
    <t>Огр-солдат</t>
  </si>
  <si>
    <t>Огр-маг</t>
  </si>
  <si>
    <t>Ворон</t>
  </si>
  <si>
    <t>Мясник</t>
  </si>
  <si>
    <t>Древо</t>
  </si>
  <si>
    <t>Волк</t>
  </si>
  <si>
    <t xml:space="preserve">Вож. Волков</t>
  </si>
  <si>
    <t>Демон</t>
  </si>
  <si>
    <t xml:space="preserve">Крипов 1</t>
  </si>
  <si>
    <t xml:space="preserve">Цена 1</t>
  </si>
  <si>
    <t xml:space="preserve">Крипов 2</t>
  </si>
  <si>
    <t xml:space="preserve">Цена 2</t>
  </si>
  <si>
    <t xml:space="preserve">Ц. волны</t>
  </si>
  <si>
    <t>Ц2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</si>
</sst>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0" formatCode="_-* #,##0.00\ _₽_-;\-* #,##0.00\ _₽_-;_-* &quot;-&quot;??\ _₽_-;_-@_-"/>
    <numFmt numFmtId="161" formatCode="_-* #,##0\ _₽_-;\-* #,##0\ _₽_-;_-* &quot;-&quot;??\ _₽_-;_-@_-"/>
    <numFmt numFmtId="162" formatCode="#,##0_ ;\-#,##0\ "/>
  </numFmts>
  <fonts count="8">
    <font>
      <sz val="11.000000"/>
      <color theme="1"/>
      <name val="Calibri"/>
      <scheme val="minor"/>
    </font>
    <font>
      <sz val="9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9.000000"/>
      <color theme="1"/>
      <name val="Calibri"/>
      <scheme val="minor"/>
    </font>
    <font>
      <sz val="11.000000"/>
      <color theme="0" tint="-0.049989318521683403"/>
      <name val="Calibri"/>
      <scheme val="minor"/>
    </font>
    <font>
      <sz val="10.000000"/>
      <color indexed="64"/>
      <name val="Arial"/>
    </font>
    <font>
      <sz val="11.000000"/>
      <color theme="0" tint="-0.249977111117893"/>
      <name val="Calibri"/>
      <scheme val="minor"/>
    </font>
    <font>
      <b/>
      <sz val="11.000000"/>
      <color theme="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00B050"/>
      </patternFill>
    </fill>
    <fill>
      <patternFill patternType="solid">
        <fgColor theme="0" tint="-0.499984740745262"/>
      </patternFill>
    </fill>
    <fill>
      <patternFill patternType="solid">
        <fgColor theme="4"/>
      </patternFill>
    </fill>
    <fill>
      <patternFill patternType="solid">
        <fgColor theme="1"/>
      </patternFill>
    </fill>
    <fill>
      <patternFill patternType="solid">
        <fgColor rgb="FFFFC000"/>
      </patternFill>
    </fill>
    <fill>
      <patternFill patternType="solid">
        <fgColor theme="6" tint="0.79998168889431442"/>
      </patternFill>
    </fill>
    <fill>
      <patternFill patternType="solid">
        <fgColor theme="0" tint="-0.049989318521683403"/>
      </patternFill>
    </fill>
    <fill>
      <patternFill patternType="solid">
        <fgColor rgb="FFFF1515"/>
      </patternFill>
    </fill>
    <fill>
      <patternFill patternType="solid">
        <fgColor theme="9" tint="0.79998168889431442"/>
      </patternFill>
    </fill>
    <fill>
      <patternFill patternType="solid">
        <fgColor theme="0" tint="-0.14999847407452621"/>
      </patternFill>
    </fill>
    <fill>
      <patternFill patternType="solid">
        <fgColor rgb="FFC5FFC5"/>
      </patternFill>
    </fill>
    <fill>
      <patternFill patternType="solid">
        <fgColor theme="2"/>
      </patternFill>
    </fill>
    <fill>
      <patternFill patternType="solid">
        <fgColor theme="6" tint="-0.249977111117893"/>
      </patternFill>
    </fill>
    <fill>
      <patternFill patternType="solid">
        <fgColor theme="3" tint="0.79998168889431442"/>
      </patternFill>
    </fill>
    <fill>
      <patternFill patternType="solid">
        <fgColor indexed="5"/>
      </patternFill>
    </fill>
    <fill>
      <patternFill patternType="solid">
        <fgColor theme="0" tint="-0.34998626667073579"/>
      </patternFill>
    </fill>
    <fill>
      <patternFill patternType="solid">
        <fgColor theme="5" tint="0.59999389629810485"/>
      </patternFill>
    </fill>
    <fill>
      <patternFill patternType="solid">
        <fgColor theme="6" tint="0.59999389629810485"/>
      </patternFill>
    </fill>
    <fill>
      <patternFill patternType="solid">
        <fgColor theme="8" tint="0.59999389629810485"/>
      </patternFill>
    </fill>
  </fills>
  <borders count="23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</borders>
  <cellStyleXfs count="3">
    <xf fontId="0" fillId="0" borderId="0" numFmtId="0" applyNumberFormat="1" applyFont="1" applyFill="1" applyBorder="1"/>
    <xf fontId="0" fillId="0" borderId="0" numFmtId="9" applyNumberFormat="1" applyFont="0" applyFill="0" applyBorder="0" applyProtection="0"/>
    <xf fontId="0" fillId="0" borderId="0" numFmtId="160" applyNumberFormat="1" applyFont="0" applyFill="0" applyBorder="0" applyProtection="0"/>
  </cellStyleXfs>
  <cellXfs count="110">
    <xf fontId="0" fillId="0" borderId="0" numFmtId="0" xfId="0"/>
    <xf fontId="0" fillId="0" borderId="0" numFmtId="0" xfId="2"/>
    <xf fontId="1" fillId="0" borderId="0" numFmtId="0" xfId="0" applyFont="1"/>
    <xf fontId="1" fillId="2" borderId="1" numFmtId="0" xfId="0" applyFont="1" applyFill="1" applyBorder="1" applyAlignment="1">
      <alignment horizontal="center"/>
    </xf>
    <xf fontId="1" fillId="2" borderId="2" numFmtId="0" xfId="0" applyFont="1" applyFill="1" applyBorder="1" applyAlignment="1">
      <alignment horizontal="center"/>
    </xf>
    <xf fontId="1" fillId="2" borderId="3" numFmtId="0" xfId="0" applyFont="1" applyFill="1" applyBorder="1" applyAlignment="1">
      <alignment horizontal="center"/>
    </xf>
    <xf fontId="1" fillId="0" borderId="0" numFmtId="0" xfId="0" applyFont="1" applyAlignment="1">
      <alignment horizontal="center"/>
    </xf>
    <xf fontId="1" fillId="3" borderId="1" numFmtId="0" xfId="0" applyFont="1" applyFill="1" applyBorder="1" applyAlignment="1">
      <alignment horizontal="center"/>
    </xf>
    <xf fontId="1" fillId="3" borderId="2" numFmtId="0" xfId="0" applyFont="1" applyFill="1" applyBorder="1" applyAlignment="1">
      <alignment horizontal="center"/>
    </xf>
    <xf fontId="1" fillId="3" borderId="3" numFmtId="0" xfId="0" applyFont="1" applyFill="1" applyBorder="1" applyAlignment="1">
      <alignment horizontal="center"/>
    </xf>
    <xf fontId="0" fillId="4" borderId="1" numFmtId="0" xfId="0" applyFill="1" applyBorder="1" applyAlignment="1">
      <alignment horizontal="center"/>
    </xf>
    <xf fontId="0" fillId="4" borderId="3" numFmtId="0" xfId="0" applyFill="1" applyBorder="1" applyAlignment="1">
      <alignment horizontal="center"/>
    </xf>
    <xf fontId="1" fillId="5" borderId="1" numFmtId="0" xfId="0" applyFont="1" applyFill="1" applyBorder="1" applyAlignment="1">
      <alignment horizontal="center"/>
    </xf>
    <xf fontId="1" fillId="5" borderId="4" numFmtId="0" xfId="0" applyFont="1" applyFill="1" applyBorder="1" applyAlignment="1">
      <alignment horizontal="center"/>
    </xf>
    <xf fontId="2" fillId="6" borderId="0" numFmtId="0" xfId="0" applyFont="1" applyFill="1" applyAlignment="1">
      <alignment horizontal="center"/>
    </xf>
    <xf fontId="3" fillId="0" borderId="3" numFmtId="0" xfId="0" applyFont="1" applyBorder="1" applyAlignment="1">
      <alignment horizontal="center"/>
    </xf>
    <xf fontId="3" fillId="0" borderId="5" numFmtId="0" xfId="0" applyFont="1" applyBorder="1" applyAlignment="1">
      <alignment horizontal="center"/>
    </xf>
    <xf fontId="3" fillId="7" borderId="5" numFmtId="0" xfId="0" applyFont="1" applyFill="1" applyBorder="1" applyAlignment="1">
      <alignment horizontal="center"/>
    </xf>
    <xf fontId="3" fillId="0" borderId="0" numFmtId="0" xfId="2" applyFont="1" applyAlignment="1">
      <alignment horizontal="center"/>
    </xf>
    <xf fontId="3" fillId="7" borderId="5" numFmtId="0" xfId="2" applyFont="1" applyFill="1" applyBorder="1" applyAlignment="1">
      <alignment horizontal="center"/>
    </xf>
    <xf fontId="3" fillId="8" borderId="5" numFmtId="0" xfId="2" applyFont="1" applyFill="1" applyBorder="1" applyAlignment="1">
      <alignment horizontal="center" vertical="center"/>
    </xf>
    <xf fontId="1" fillId="0" borderId="0" numFmtId="0" xfId="2" applyFont="1"/>
    <xf fontId="1" fillId="0" borderId="2" numFmtId="0" xfId="0" applyFont="1" applyBorder="1"/>
    <xf fontId="1" fillId="9" borderId="5" numFmtId="0" xfId="0" applyFont="1" applyFill="1" applyBorder="1" applyAlignment="1">
      <alignment horizontal="center" vertical="center"/>
    </xf>
    <xf fontId="1" fillId="0" borderId="6" numFmtId="0" xfId="0" applyFont="1" applyBorder="1" applyAlignment="1">
      <alignment horizontal="center" vertical="center"/>
    </xf>
    <xf fontId="1" fillId="0" borderId="7" numFmtId="0" xfId="0" applyFont="1" applyBorder="1" applyAlignment="1">
      <alignment horizontal="center" vertical="center"/>
    </xf>
    <xf fontId="1" fillId="0" borderId="0" numFmtId="0" xfId="0" applyFont="1" applyAlignment="1">
      <alignment horizontal="center" vertical="center"/>
    </xf>
    <xf fontId="1" fillId="0" borderId="8" numFmtId="0" xfId="0" applyFont="1" applyBorder="1" applyAlignment="1">
      <alignment horizontal="center" vertical="center"/>
    </xf>
    <xf fontId="1" fillId="0" borderId="9" numFmtId="161" xfId="2" applyNumberFormat="1" applyFont="1" applyBorder="1" applyAlignment="1">
      <alignment horizontal="center" vertical="center"/>
    </xf>
    <xf fontId="1" fillId="0" borderId="8" numFmtId="161" xfId="2" applyNumberFormat="1" applyFont="1" applyBorder="1" applyAlignment="1">
      <alignment horizontal="center" vertical="center"/>
    </xf>
    <xf fontId="1" fillId="0" borderId="10" numFmtId="162" xfId="2" applyNumberFormat="1" applyFont="1" applyBorder="1" applyAlignment="1">
      <alignment horizontal="center" vertical="center"/>
    </xf>
    <xf fontId="1" fillId="0" borderId="11" numFmtId="0" xfId="0" applyFont="1" applyBorder="1" applyAlignment="1">
      <alignment horizontal="center" vertical="center"/>
    </xf>
    <xf fontId="1" fillId="0" borderId="0" numFmtId="0" xfId="1" applyFont="1" applyAlignment="1">
      <alignment horizontal="center" vertical="center"/>
    </xf>
    <xf fontId="1" fillId="0" borderId="12" numFmtId="0" xfId="0" applyFont="1" applyBorder="1" applyAlignment="1">
      <alignment horizontal="center" vertical="center"/>
    </xf>
    <xf fontId="1" fillId="0" borderId="10" numFmtId="161" xfId="2" applyNumberFormat="1" applyFont="1" applyBorder="1" applyAlignment="1">
      <alignment horizontal="center" vertical="center"/>
    </xf>
    <xf fontId="1" fillId="0" borderId="13" numFmtId="0" xfId="0" applyFont="1" applyBorder="1" applyAlignment="1">
      <alignment horizontal="center" vertical="center"/>
    </xf>
    <xf fontId="1" fillId="0" borderId="14" numFmtId="0" xfId="0" applyFont="1" applyBorder="1" applyAlignment="1">
      <alignment horizontal="center" vertical="center"/>
    </xf>
    <xf fontId="1" fillId="0" borderId="4" numFmtId="0" xfId="0" applyFont="1" applyBorder="1" applyAlignment="1">
      <alignment horizontal="center" vertical="center"/>
    </xf>
    <xf fontId="1" fillId="0" borderId="15" numFmtId="161" xfId="2" applyNumberFormat="1" applyFont="1" applyBorder="1" applyAlignment="1">
      <alignment horizontal="center" vertical="center"/>
    </xf>
    <xf fontId="1" fillId="0" borderId="15" numFmtId="162" xfId="2" applyNumberFormat="1" applyFont="1" applyBorder="1" applyAlignment="1">
      <alignment horizontal="center" vertical="center"/>
    </xf>
    <xf fontId="1" fillId="9" borderId="1" numFmtId="0" xfId="0" applyFont="1" applyFill="1" applyBorder="1" applyAlignment="1">
      <alignment horizontal="center" vertical="center"/>
    </xf>
    <xf fontId="1" fillId="0" borderId="15" numFmtId="0" xfId="0" applyFont="1" applyBorder="1" applyAlignment="1">
      <alignment horizontal="center" vertical="center"/>
    </xf>
    <xf fontId="0" fillId="0" borderId="13" numFmtId="0" xfId="2" applyBorder="1"/>
    <xf fontId="0" fillId="0" borderId="0" numFmtId="0" xfId="0" applyAlignment="1">
      <alignment horizontal="center" vertical="center"/>
    </xf>
    <xf fontId="1" fillId="3" borderId="5" numFmtId="0" xfId="0" applyFont="1" applyFill="1" applyBorder="1" applyAlignment="1">
      <alignment horizontal="center"/>
    </xf>
    <xf fontId="1" fillId="5" borderId="3" numFmtId="0" xfId="0" applyFont="1" applyFill="1" applyBorder="1" applyAlignment="1">
      <alignment horizontal="center"/>
    </xf>
    <xf fontId="0" fillId="0" borderId="0" numFmtId="0" xfId="0"/>
    <xf fontId="1" fillId="0" borderId="10" numFmtId="0" xfId="0" applyFont="1" applyBorder="1" applyAlignment="1">
      <alignment horizontal="center" vertical="center"/>
    </xf>
    <xf fontId="1" fillId="0" borderId="11" numFmtId="161" xfId="2" applyNumberFormat="1" applyFont="1" applyBorder="1" applyAlignment="1">
      <alignment horizontal="center" vertical="center"/>
    </xf>
    <xf fontId="1" fillId="0" borderId="0" numFmtId="161" xfId="2" applyNumberFormat="1" applyFont="1" applyAlignment="1">
      <alignment horizontal="center" vertical="center"/>
    </xf>
    <xf fontId="0" fillId="0" borderId="0" numFmtId="160" xfId="2" applyNumberFormat="1"/>
    <xf fontId="0" fillId="0" borderId="0" numFmtId="0" xfId="2" applyAlignment="1">
      <alignment horizontal="center" vertical="center"/>
    </xf>
    <xf fontId="0" fillId="0" borderId="0" numFmtId="161" xfId="0" applyNumberFormat="1"/>
    <xf fontId="1" fillId="0" borderId="9" numFmtId="0" xfId="0" applyFont="1" applyBorder="1" applyAlignment="1">
      <alignment horizontal="center" vertical="center"/>
    </xf>
    <xf fontId="1" fillId="0" borderId="7" numFmtId="161" xfId="2" applyNumberFormat="1" applyFont="1" applyBorder="1" applyAlignment="1">
      <alignment horizontal="center" vertical="center"/>
    </xf>
    <xf fontId="0" fillId="10" borderId="5" numFmtId="0" xfId="0" applyFill="1" applyBorder="1" applyAlignment="1">
      <alignment horizontal="center"/>
    </xf>
    <xf fontId="4" fillId="6" borderId="5" numFmtId="0" xfId="0" applyFont="1" applyFill="1" applyBorder="1" applyAlignment="1">
      <alignment horizontal="center"/>
    </xf>
    <xf fontId="0" fillId="11" borderId="5" numFmtId="0" xfId="0" applyFill="1" applyBorder="1"/>
    <xf fontId="0" fillId="12" borderId="5" numFmtId="0" xfId="0" applyFill="1" applyBorder="1" applyAlignment="1">
      <alignment horizontal="center"/>
    </xf>
    <xf fontId="0" fillId="13" borderId="5" numFmtId="0" xfId="0" applyFill="1" applyBorder="1"/>
    <xf fontId="0" fillId="14" borderId="0" numFmtId="0" xfId="0" applyFill="1"/>
    <xf fontId="0" fillId="0" borderId="0" numFmtId="0" xfId="0" quotePrefix="1"/>
    <xf fontId="0" fillId="15" borderId="0" numFmtId="0" xfId="0" applyFill="1" quotePrefix="1"/>
    <xf fontId="0" fillId="9" borderId="5" numFmtId="0" xfId="0" applyFill="1" applyBorder="1"/>
    <xf fontId="0" fillId="14" borderId="5" numFmtId="0" xfId="0" applyFill="1" applyBorder="1"/>
    <xf fontId="0" fillId="9" borderId="8" numFmtId="0" xfId="0" applyFill="1" applyBorder="1"/>
    <xf fontId="0" fillId="9" borderId="7" numFmtId="0" xfId="0" applyFill="1" applyBorder="1"/>
    <xf fontId="0" fillId="9" borderId="14" numFmtId="0" xfId="0" applyFill="1" applyBorder="1"/>
    <xf fontId="0" fillId="9" borderId="4" numFmtId="0" xfId="0" applyFill="1" applyBorder="1"/>
    <xf fontId="0" fillId="9" borderId="5" numFmtId="0" xfId="0" applyFill="1" applyBorder="1" quotePrefix="1"/>
    <xf fontId="0" fillId="0" borderId="5" numFmtId="0" xfId="0" applyBorder="1"/>
    <xf fontId="0" fillId="0" borderId="5" numFmtId="2" xfId="0" applyNumberFormat="1" applyBorder="1"/>
    <xf fontId="0" fillId="0" borderId="5" numFmtId="1" xfId="0" applyNumberFormat="1" applyBorder="1"/>
    <xf fontId="0" fillId="0" borderId="0" numFmtId="2" xfId="0" applyNumberFormat="1"/>
    <xf fontId="5" fillId="0" borderId="0" numFmtId="0" xfId="0" applyFont="1"/>
    <xf fontId="0" fillId="16" borderId="0" numFmtId="0" xfId="0" applyFill="1"/>
    <xf fontId="6" fillId="0" borderId="0" numFmtId="0" xfId="0" applyFont="1"/>
    <xf fontId="0" fillId="0" borderId="16" numFmtId="0" xfId="0" applyBorder="1" applyAlignment="1">
      <alignment horizontal="center" vertical="center"/>
    </xf>
    <xf fontId="0" fillId="0" borderId="15" numFmtId="0" xfId="0" applyBorder="1" applyAlignment="1">
      <alignment horizontal="center" vertical="center"/>
    </xf>
    <xf fontId="0" fillId="0" borderId="5" numFmtId="0" xfId="0" applyBorder="1" applyAlignment="1">
      <alignment horizontal="center" vertical="center"/>
    </xf>
    <xf fontId="0" fillId="0" borderId="9" numFmtId="0" xfId="0" applyBorder="1" applyAlignment="1">
      <alignment horizontal="center" vertical="center"/>
    </xf>
    <xf fontId="0" fillId="2" borderId="16" numFmtId="0" xfId="0" applyFill="1" applyBorder="1" applyAlignment="1">
      <alignment horizontal="center" vertical="center"/>
    </xf>
    <xf fontId="0" fillId="17" borderId="17" numFmtId="0" xfId="0" applyFill="1" applyBorder="1" applyAlignment="1">
      <alignment horizontal="center" vertical="center"/>
    </xf>
    <xf fontId="0" fillId="17" borderId="18" numFmtId="0" xfId="0" applyFill="1" applyBorder="1" applyAlignment="1">
      <alignment horizontal="center" vertical="center"/>
    </xf>
    <xf fontId="0" fillId="17" borderId="19" numFmtId="0" xfId="0" applyFill="1" applyBorder="1" applyAlignment="1">
      <alignment horizontal="center" vertical="center"/>
    </xf>
    <xf fontId="0" fillId="17" borderId="16" numFmtId="0" xfId="0" applyFill="1" applyBorder="1" applyAlignment="1">
      <alignment horizontal="center" vertical="center"/>
    </xf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3" borderId="5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4" borderId="3" numFmtId="0" xfId="0" applyFill="1" applyBorder="1"/>
    <xf fontId="7" fillId="0" borderId="5" numFmtId="0" xfId="0" applyFont="1" applyBorder="1" applyAlignment="1">
      <alignment horizontal="center"/>
    </xf>
    <xf fontId="7" fillId="7" borderId="5" numFmtId="0" xfId="0" applyFont="1" applyFill="1" applyBorder="1" applyAlignment="1">
      <alignment horizontal="center"/>
    </xf>
    <xf fontId="7" fillId="18" borderId="5" numFmtId="0" xfId="0" applyFont="1" applyFill="1" applyBorder="1" applyAlignment="1">
      <alignment horizontal="center"/>
    </xf>
    <xf fontId="7" fillId="2" borderId="16" numFmtId="9" xfId="1" applyNumberFormat="1" applyFont="1" applyFill="1" applyBorder="1" applyAlignment="1">
      <alignment horizontal="center" vertical="center"/>
    </xf>
    <xf fontId="0" fillId="19" borderId="20" numFmtId="0" xfId="0" applyFill="1" applyBorder="1" applyAlignment="1">
      <alignment horizontal="center" vertical="center"/>
    </xf>
    <xf fontId="0" fillId="19" borderId="21" numFmtId="0" xfId="0" applyFill="1" applyBorder="1" applyAlignment="1">
      <alignment horizontal="center" vertical="center"/>
    </xf>
    <xf fontId="0" fillId="7" borderId="21" numFmtId="0" xfId="0" applyFill="1" applyBorder="1" applyAlignment="1">
      <alignment horizontal="center" vertical="center"/>
    </xf>
    <xf fontId="0" fillId="7" borderId="22" numFmtId="0" xfId="0" applyFill="1" applyBorder="1" applyAlignment="1">
      <alignment horizontal="center" vertical="center"/>
    </xf>
    <xf fontId="0" fillId="20" borderId="20" numFmtId="0" xfId="0" applyFill="1" applyBorder="1" applyAlignment="1">
      <alignment horizontal="center" vertical="center"/>
    </xf>
    <xf fontId="0" fillId="20" borderId="21" numFmtId="0" xfId="0" applyFill="1" applyBorder="1" applyAlignment="1">
      <alignment horizontal="center" vertical="center"/>
    </xf>
    <xf fontId="0" fillId="7" borderId="20" numFmtId="0" xfId="0" applyFill="1" applyBorder="1" applyAlignment="1">
      <alignment horizontal="center" vertical="center"/>
    </xf>
    <xf fontId="0" fillId="0" borderId="5" numFmtId="0" xfId="0" applyBorder="1" applyAlignment="1">
      <alignment horizontal="center"/>
    </xf>
    <xf fontId="1" fillId="0" borderId="0" numFmtId="2" xfId="0" applyNumberFormat="1" applyFont="1" applyAlignment="1">
      <alignment horizontal="center" vertical="center"/>
    </xf>
    <xf fontId="1" fillId="0" borderId="4" numFmtId="161" xfId="2" applyNumberFormat="1" applyFont="1" applyBorder="1" applyAlignment="1">
      <alignment horizontal="center" vertical="center"/>
    </xf>
    <xf fontId="0" fillId="21" borderId="5" numFmtId="0" xfId="0" applyFill="1" applyBorder="1" applyAlignment="1">
      <alignment horizontal="center"/>
    </xf>
    <xf fontId="0" fillId="17" borderId="5" numFmtId="0" xfId="0" applyFill="1" applyBorder="1" applyAlignment="1">
      <alignment horizontal="center"/>
    </xf>
    <xf fontId="0" fillId="11" borderId="5" numFmtId="161" xfId="0" applyNumberFormat="1" applyFill="1" applyBorder="1"/>
    <xf fontId="0" fillId="13" borderId="5" numFmtId="161" xfId="0" applyNumberFormat="1" applyFill="1" applyBorder="1"/>
  </cellXfs>
  <cellStyles count="3">
    <cellStyle name="Обычный" xfId="0" builtinId="0"/>
    <cellStyle name="Процентный" xfId="1" builtinId="5"/>
    <cellStyle name="Финансовый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Автор" id="{E392FECC-2F65-6D15-B283-1C8885577552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Liberation Sans"/>
        <a:cs typeface="Liberation Sans"/>
      </a:majorFont>
      <a:minorFont>
        <a:latin typeface="Calibri"/>
        <a:ea typeface="Liberation Sans"/>
        <a:cs typeface="Liberation Sans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personId="{E392FECC-2F65-6D15-B283-1C8885577552}" id="{003400C8-000C-4901-AD9F-0059003B004C}" done="0">
    <text xml:space="preserve">Цена всех юнитов в игре уменьшена на 20%
</text>
  </threadedComment>
  <threadedComment ref="T2" personId="{E392FECC-2F65-6D15-B283-1C8885577552}" id="{000E00F7-0050-424A-AA86-00CF008B00D2}" done="0">
    <text xml:space="preserve">Уровень в игре влияет на приоритет получения баффов и дебаффов на урон
</text>
  </threadedComment>
</ThreadedComments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vmlDrawing" Target="../drawings/vmlDrawing1.vml"/><Relationship  Id="rId2" Type="http://schemas.openxmlformats.org/officeDocument/2006/relationships/comments" Target="../comments1.xml"/><Relationship  Id="rId1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topLeftCell="A85" zoomScale="115" workbookViewId="0">
      <selection activeCell="O120" activeCellId="0" sqref="O120"/>
    </sheetView>
  </sheetViews>
  <sheetFormatPr defaultRowHeight="14.25"/>
  <cols>
    <col customWidth="1" min="1" max="1" width="14.85546875"/>
    <col customWidth="1" min="2" max="2" width="7.42578125"/>
    <col customWidth="1" min="3" max="3" width="8.85546875"/>
    <col customWidth="1" min="4" max="4" width="6.85546875"/>
    <col customWidth="1" min="6" max="6" width="23.5703125"/>
    <col customWidth="1" min="7" max="7" width="10.28515625"/>
    <col customWidth="1" min="8" max="8" width="8"/>
    <col customWidth="1" min="9" max="9" width="7"/>
    <col customWidth="1" min="10" max="10" style="1" width="4.5703125"/>
    <col customWidth="1" min="11" max="11" width="6.85546875"/>
    <col customWidth="1" min="12" max="12" width="7.7109375"/>
    <col customWidth="1" min="13" max="13" width="10.140625"/>
    <col customWidth="1" min="14" max="14" width="19.7109375"/>
    <col customWidth="1" min="15" max="15" width="7.140625"/>
    <col customWidth="1" min="16" max="16" width="3"/>
    <col customWidth="1" min="17" max="17" width="4.85546875"/>
    <col customWidth="1" min="18" max="18" width="9.5703125"/>
    <col customWidth="1" min="19" max="19" style="1" width="6.42578125"/>
    <col customWidth="1" min="20" max="20" width="7.85546875"/>
    <col customWidth="1" min="21" max="21" width="7.5703125"/>
    <col customWidth="1" min="22" max="22" width="6.5703125"/>
  </cols>
  <sheetData>
    <row r="1">
      <c r="A1" s="2"/>
      <c r="B1" s="3"/>
      <c r="C1" s="4"/>
      <c r="D1" s="4"/>
      <c r="E1" s="4"/>
      <c r="F1" s="4"/>
      <c r="G1" s="4"/>
      <c r="H1" s="4"/>
      <c r="I1" s="5"/>
      <c r="J1" s="6"/>
      <c r="K1" s="7"/>
      <c r="L1" s="8"/>
      <c r="M1" s="8"/>
      <c r="N1" s="8"/>
      <c r="O1" s="9"/>
      <c r="P1" s="2"/>
      <c r="Q1" s="10"/>
      <c r="R1" s="11"/>
      <c r="T1" s="12"/>
      <c r="U1" s="13"/>
      <c r="V1" s="6"/>
    </row>
    <row r="2" ht="16.5">
      <c r="A2" s="14" t="s">
        <v>0</v>
      </c>
      <c r="B2" s="15" t="s">
        <v>1</v>
      </c>
      <c r="C2" s="16" t="s">
        <v>2</v>
      </c>
      <c r="D2" s="16" t="s">
        <v>3</v>
      </c>
      <c r="E2" s="16" t="s">
        <v>4</v>
      </c>
      <c r="F2" s="16" t="s">
        <v>5</v>
      </c>
      <c r="G2" s="16" t="s">
        <v>6</v>
      </c>
      <c r="H2" s="17" t="s">
        <v>7</v>
      </c>
      <c r="I2" s="17" t="s">
        <v>8</v>
      </c>
      <c r="J2" s="18"/>
      <c r="K2" s="16" t="s">
        <v>9</v>
      </c>
      <c r="L2" s="16" t="s">
        <v>10</v>
      </c>
      <c r="M2" s="16" t="s">
        <v>11</v>
      </c>
      <c r="N2" s="16" t="s">
        <v>12</v>
      </c>
      <c r="O2" s="17" t="s">
        <v>13</v>
      </c>
      <c r="P2" s="2"/>
      <c r="Q2" s="17" t="s">
        <v>14</v>
      </c>
      <c r="R2" s="19" t="s">
        <v>15</v>
      </c>
      <c r="T2" s="20" t="s">
        <v>16</v>
      </c>
      <c r="U2" s="20" t="s">
        <v>17</v>
      </c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1"/>
      <c r="T3" s="2"/>
      <c r="U3" s="22"/>
    </row>
    <row r="4">
      <c r="A4" s="23" t="s">
        <v>18</v>
      </c>
      <c r="B4" s="24">
        <v>6</v>
      </c>
      <c r="C4" s="24">
        <v>1</v>
      </c>
      <c r="D4" s="24">
        <v>3</v>
      </c>
      <c r="E4" s="24">
        <v>2.04</v>
      </c>
      <c r="F4" s="24">
        <f t="shared" ref="F4:F9" si="0">(2*B4+C4+D4)/(E4*2)</f>
        <v>3.9215686274509802</v>
      </c>
      <c r="G4" s="24"/>
      <c r="H4" s="24">
        <f t="shared" ref="H4:H9" si="1">F4*5.3544563483342</f>
        <v>20.997868032683133</v>
      </c>
      <c r="I4" s="25">
        <v>1</v>
      </c>
      <c r="J4" s="26"/>
      <c r="K4" s="27">
        <v>70</v>
      </c>
      <c r="L4" s="24">
        <v>0</v>
      </c>
      <c r="M4" s="24">
        <v>0.059999999999999998</v>
      </c>
      <c r="N4" s="24">
        <f t="shared" ref="N4:N21" si="2">K4*(L4*M4+1)</f>
        <v>70</v>
      </c>
      <c r="O4" s="25">
        <f t="shared" ref="O4:O21" si="3">N4*0.18159375101708</f>
        <v>12.7115625711956</v>
      </c>
      <c r="P4" s="26"/>
      <c r="Q4" s="27">
        <v>4</v>
      </c>
      <c r="R4" s="28">
        <f t="shared" ref="R4:R9" si="4">($H4+$O4+$Q4)*$I4*0.8</f>
        <v>30.167544483102986</v>
      </c>
      <c r="T4" s="29">
        <v>1</v>
      </c>
      <c r="U4" s="30">
        <v>0</v>
      </c>
    </row>
    <row r="5">
      <c r="A5" s="23" t="s">
        <v>19</v>
      </c>
      <c r="B5" s="26">
        <v>11</v>
      </c>
      <c r="C5" s="26">
        <v>1</v>
      </c>
      <c r="D5" s="26">
        <v>3</v>
      </c>
      <c r="E5" s="26">
        <v>2</v>
      </c>
      <c r="F5" s="26">
        <f t="shared" si="0"/>
        <v>6.5</v>
      </c>
      <c r="G5" s="26"/>
      <c r="H5" s="26">
        <f t="shared" si="1"/>
        <v>34.803966264172296</v>
      </c>
      <c r="I5" s="31">
        <v>1</v>
      </c>
      <c r="J5" s="32"/>
      <c r="K5" s="33">
        <v>100</v>
      </c>
      <c r="L5" s="26">
        <v>2</v>
      </c>
      <c r="M5" s="26">
        <v>0.059999999999999998</v>
      </c>
      <c r="N5" s="26">
        <f t="shared" si="2"/>
        <v>112.00000000000001</v>
      </c>
      <c r="O5" s="31">
        <f t="shared" si="3"/>
        <v>20.338500113912964</v>
      </c>
      <c r="P5" s="26"/>
      <c r="Q5" s="33">
        <v>13</v>
      </c>
      <c r="R5" s="34">
        <f t="shared" si="4"/>
        <v>54.513973102468213</v>
      </c>
      <c r="T5" s="34">
        <v>2</v>
      </c>
      <c r="U5" s="30">
        <v>0</v>
      </c>
    </row>
    <row r="6">
      <c r="A6" s="23" t="s">
        <v>20</v>
      </c>
      <c r="B6" s="35">
        <v>9</v>
      </c>
      <c r="C6" s="35">
        <v>1</v>
      </c>
      <c r="D6" s="35">
        <v>3</v>
      </c>
      <c r="E6" s="35">
        <v>2</v>
      </c>
      <c r="F6" s="26">
        <f t="shared" si="0"/>
        <v>5.5</v>
      </c>
      <c r="G6" s="35">
        <v>350</v>
      </c>
      <c r="H6" s="35">
        <f t="shared" si="1"/>
        <v>29.4495099158381</v>
      </c>
      <c r="I6" s="31">
        <f t="shared" ref="I6:I9" si="5">(500/F6)/((500/F6)-(G6/300))</f>
        <v>1.0130001688333616</v>
      </c>
      <c r="J6" s="32"/>
      <c r="K6" s="36">
        <v>75</v>
      </c>
      <c r="L6" s="35">
        <v>1</v>
      </c>
      <c r="M6" s="35">
        <v>0.059999999999999998</v>
      </c>
      <c r="N6" s="35">
        <f t="shared" si="2"/>
        <v>79.5</v>
      </c>
      <c r="O6" s="37">
        <f t="shared" si="3"/>
        <v>14.43670320585786</v>
      </c>
      <c r="P6" s="26"/>
      <c r="Q6" s="36">
        <v>12</v>
      </c>
      <c r="R6" s="38">
        <f t="shared" si="4"/>
        <v>45.290194662188192</v>
      </c>
      <c r="T6" s="38">
        <v>2</v>
      </c>
      <c r="U6" s="39">
        <v>0</v>
      </c>
    </row>
    <row r="7">
      <c r="A7" s="23" t="s">
        <v>21</v>
      </c>
      <c r="B7" s="24">
        <v>7</v>
      </c>
      <c r="C7" s="24">
        <v>1</v>
      </c>
      <c r="D7" s="24">
        <v>3</v>
      </c>
      <c r="E7" s="24">
        <v>1.8999999999999999</v>
      </c>
      <c r="F7" s="24">
        <f t="shared" si="0"/>
        <v>4.7368421052631584</v>
      </c>
      <c r="G7" s="24">
        <v>600</v>
      </c>
      <c r="H7" s="24">
        <f t="shared" si="1"/>
        <v>25.363214281583055</v>
      </c>
      <c r="I7" s="25">
        <f t="shared" si="5"/>
        <v>1.0193133047210301</v>
      </c>
      <c r="J7" s="26"/>
      <c r="K7" s="27">
        <v>70</v>
      </c>
      <c r="L7" s="24">
        <v>0</v>
      </c>
      <c r="M7" s="24">
        <v>0.059999999999999998</v>
      </c>
      <c r="N7" s="24">
        <f t="shared" si="2"/>
        <v>70</v>
      </c>
      <c r="O7" s="25">
        <f t="shared" si="3"/>
        <v>12.7115625711956</v>
      </c>
      <c r="P7" s="26"/>
      <c r="Q7" s="27">
        <v>11</v>
      </c>
      <c r="R7" s="34">
        <f t="shared" si="4"/>
        <v>40.01805837780234</v>
      </c>
      <c r="T7" s="34">
        <v>3</v>
      </c>
      <c r="U7" s="30">
        <v>0</v>
      </c>
    </row>
    <row r="8">
      <c r="A8" s="40" t="s">
        <v>22</v>
      </c>
      <c r="B8" s="33">
        <v>24</v>
      </c>
      <c r="C8" s="26">
        <v>1</v>
      </c>
      <c r="D8" s="26">
        <v>1</v>
      </c>
      <c r="E8" s="26">
        <v>1.75</v>
      </c>
      <c r="F8" s="26">
        <f t="shared" si="0"/>
        <v>14.285714285714286</v>
      </c>
      <c r="G8" s="26">
        <v>600</v>
      </c>
      <c r="H8" s="26">
        <f t="shared" si="1"/>
        <v>76.492233547631429</v>
      </c>
      <c r="I8" s="31">
        <f t="shared" si="5"/>
        <v>1.0606060606060606</v>
      </c>
      <c r="J8" s="32"/>
      <c r="K8" s="33">
        <v>75</v>
      </c>
      <c r="L8" s="26">
        <v>0</v>
      </c>
      <c r="M8" s="26">
        <v>0.059999999999999998</v>
      </c>
      <c r="N8" s="26">
        <f t="shared" si="2"/>
        <v>75</v>
      </c>
      <c r="O8" s="31">
        <f t="shared" si="3"/>
        <v>13.619531326281001</v>
      </c>
      <c r="P8" s="26"/>
      <c r="Q8" s="33">
        <v>16</v>
      </c>
      <c r="R8" s="34">
        <f t="shared" si="4"/>
        <v>90.034224741501461</v>
      </c>
      <c r="T8" s="34">
        <v>4</v>
      </c>
      <c r="U8" s="30">
        <v>4</v>
      </c>
    </row>
    <row r="9">
      <c r="A9" s="23" t="s">
        <v>23</v>
      </c>
      <c r="B9" s="26">
        <v>7</v>
      </c>
      <c r="C9" s="26">
        <v>1</v>
      </c>
      <c r="D9" s="26">
        <v>3</v>
      </c>
      <c r="E9" s="26">
        <v>1.8999999999999999</v>
      </c>
      <c r="F9" s="26">
        <f t="shared" si="0"/>
        <v>4.7368421052631584</v>
      </c>
      <c r="G9" s="26">
        <v>850</v>
      </c>
      <c r="H9" s="26">
        <f t="shared" si="1"/>
        <v>25.363214281583055</v>
      </c>
      <c r="I9" s="31">
        <f t="shared" si="5"/>
        <v>1.0275824770146025</v>
      </c>
      <c r="J9" s="32"/>
      <c r="K9" s="36">
        <v>80</v>
      </c>
      <c r="L9" s="35">
        <v>0</v>
      </c>
      <c r="M9" s="35">
        <v>0.059999999999999998</v>
      </c>
      <c r="N9" s="35">
        <f t="shared" si="2"/>
        <v>80</v>
      </c>
      <c r="O9" s="37">
        <f t="shared" si="3"/>
        <v>14.5275000813664</v>
      </c>
      <c r="P9" s="35"/>
      <c r="Q9" s="41">
        <v>27</v>
      </c>
      <c r="R9" s="38">
        <f t="shared" si="4"/>
        <v>54.988580763484677</v>
      </c>
      <c r="S9" s="42"/>
      <c r="T9" s="38">
        <v>3</v>
      </c>
      <c r="U9" s="39">
        <v>2</v>
      </c>
    </row>
    <row r="10">
      <c r="A10" s="23" t="s">
        <v>24</v>
      </c>
      <c r="B10" s="24">
        <v>8</v>
      </c>
      <c r="C10" s="24">
        <v>1</v>
      </c>
      <c r="D10" s="24">
        <v>3</v>
      </c>
      <c r="E10" s="24">
        <v>2.3500000000000001</v>
      </c>
      <c r="F10" s="24">
        <f t="shared" ref="F10:F73" si="6">(2*B10+C10+D10)/(E10*2)</f>
        <v>4.2553191489361701</v>
      </c>
      <c r="G10" s="24"/>
      <c r="H10" s="24">
        <f t="shared" ref="H10:H73" si="7">F10*5.3544563483342</f>
        <v>22.78492063120936</v>
      </c>
      <c r="I10" s="25">
        <f t="shared" ref="I10:I73" si="8">(500/F10)/((500/F10)-(G10/300))</f>
        <v>1</v>
      </c>
      <c r="J10" s="26"/>
      <c r="K10" s="33">
        <v>115</v>
      </c>
      <c r="L10" s="26">
        <v>2</v>
      </c>
      <c r="M10" s="26">
        <v>0.059999999999999998</v>
      </c>
      <c r="N10" s="26">
        <f t="shared" si="2"/>
        <v>128.80000000000001</v>
      </c>
      <c r="O10" s="31">
        <f t="shared" si="3"/>
        <v>23.389275130999906</v>
      </c>
      <c r="P10" s="26"/>
      <c r="Q10" s="33">
        <v>6</v>
      </c>
      <c r="R10" s="34">
        <f t="shared" ref="R10:R73" si="9">($H10+$O10+$Q10)*$I10*0.8</f>
        <v>41.739356609767412</v>
      </c>
      <c r="T10" s="34">
        <v>2</v>
      </c>
      <c r="U10" s="30">
        <v>0</v>
      </c>
    </row>
    <row r="11">
      <c r="A11" s="23" t="s">
        <v>25</v>
      </c>
      <c r="B11" s="26">
        <v>8</v>
      </c>
      <c r="C11" s="26">
        <v>1</v>
      </c>
      <c r="D11" s="26">
        <v>3</v>
      </c>
      <c r="E11" s="26">
        <v>1.95</v>
      </c>
      <c r="F11" s="26">
        <f t="shared" si="6"/>
        <v>5.1282051282051286</v>
      </c>
      <c r="G11" s="26"/>
      <c r="H11" s="26">
        <f t="shared" si="7"/>
        <v>27.458750504277948</v>
      </c>
      <c r="I11" s="31">
        <f t="shared" si="8"/>
        <v>1</v>
      </c>
      <c r="J11" s="32"/>
      <c r="K11" s="33">
        <v>190</v>
      </c>
      <c r="L11" s="26">
        <v>2</v>
      </c>
      <c r="M11" s="26">
        <v>0.059999999999999998</v>
      </c>
      <c r="N11" s="26">
        <f t="shared" si="2"/>
        <v>212.80000000000001</v>
      </c>
      <c r="O11" s="31">
        <f t="shared" si="3"/>
        <v>38.643150216434627</v>
      </c>
      <c r="P11" s="26"/>
      <c r="Q11" s="33">
        <v>59</v>
      </c>
      <c r="R11" s="34">
        <f t="shared" si="9"/>
        <v>100.08152057657007</v>
      </c>
      <c r="T11" s="34">
        <v>2</v>
      </c>
      <c r="U11" s="30">
        <v>0</v>
      </c>
    </row>
    <row r="12">
      <c r="A12" s="23" t="s">
        <v>26</v>
      </c>
      <c r="B12" s="35">
        <v>8</v>
      </c>
      <c r="C12" s="35">
        <v>1</v>
      </c>
      <c r="D12" s="35">
        <v>3</v>
      </c>
      <c r="E12" s="35">
        <v>2.1499999999999999</v>
      </c>
      <c r="F12" s="35">
        <f t="shared" si="6"/>
        <v>4.6511627906976747</v>
      </c>
      <c r="G12" s="35"/>
      <c r="H12" s="35">
        <f t="shared" si="7"/>
        <v>24.904448131786975</v>
      </c>
      <c r="I12" s="37">
        <f t="shared" si="8"/>
        <v>1</v>
      </c>
      <c r="J12" s="32"/>
      <c r="K12" s="36">
        <v>205</v>
      </c>
      <c r="L12" s="35">
        <v>2</v>
      </c>
      <c r="M12" s="35">
        <v>0.059999999999999998</v>
      </c>
      <c r="N12" s="35">
        <f t="shared" si="2"/>
        <v>229.60000000000002</v>
      </c>
      <c r="O12" s="37">
        <f t="shared" si="3"/>
        <v>41.693925233521576</v>
      </c>
      <c r="P12" s="26"/>
      <c r="Q12" s="36">
        <v>27</v>
      </c>
      <c r="R12" s="38">
        <f t="shared" si="9"/>
        <v>74.878698692246843</v>
      </c>
      <c r="T12" s="38">
        <v>2</v>
      </c>
      <c r="U12" s="39">
        <v>1</v>
      </c>
    </row>
    <row r="13">
      <c r="A13" s="23" t="s">
        <v>27</v>
      </c>
      <c r="B13" s="24">
        <v>4</v>
      </c>
      <c r="C13" s="24">
        <v>1</v>
      </c>
      <c r="D13" s="24">
        <v>3</v>
      </c>
      <c r="E13" s="24">
        <v>1.8500000000000001</v>
      </c>
      <c r="F13" s="24">
        <f t="shared" si="6"/>
        <v>3.243243243243243</v>
      </c>
      <c r="G13" s="24">
        <v>450</v>
      </c>
      <c r="H13" s="24">
        <f t="shared" si="7"/>
        <v>17.365804372975781</v>
      </c>
      <c r="I13" s="25">
        <f t="shared" si="8"/>
        <v>1.009825327510917</v>
      </c>
      <c r="J13" s="26"/>
      <c r="K13" s="27">
        <v>95</v>
      </c>
      <c r="L13" s="24">
        <v>0</v>
      </c>
      <c r="M13" s="24">
        <v>0.059999999999999998</v>
      </c>
      <c r="N13" s="24">
        <f t="shared" si="2"/>
        <v>95</v>
      </c>
      <c r="O13" s="25">
        <f t="shared" si="3"/>
        <v>17.251406346622598</v>
      </c>
      <c r="P13" s="26"/>
      <c r="Q13" s="27">
        <v>40</v>
      </c>
      <c r="R13" s="34">
        <f t="shared" si="9"/>
        <v>60.280279402295633</v>
      </c>
      <c r="T13" s="34">
        <v>1</v>
      </c>
      <c r="U13" s="30">
        <v>3</v>
      </c>
    </row>
    <row r="14">
      <c r="A14" s="23" t="s">
        <v>28</v>
      </c>
      <c r="B14" s="26">
        <v>8</v>
      </c>
      <c r="C14" s="26">
        <v>1</v>
      </c>
      <c r="D14" s="26">
        <v>3</v>
      </c>
      <c r="E14" s="26">
        <v>1.8999999999999999</v>
      </c>
      <c r="F14" s="26">
        <f t="shared" si="6"/>
        <v>5.2631578947368425</v>
      </c>
      <c r="G14" s="26">
        <v>450</v>
      </c>
      <c r="H14" s="26">
        <f t="shared" si="7"/>
        <v>28.181349201758948</v>
      </c>
      <c r="I14" s="31">
        <f t="shared" si="8"/>
        <v>1.0160427807486632</v>
      </c>
      <c r="J14" s="32"/>
      <c r="K14" s="33">
        <v>120</v>
      </c>
      <c r="L14" s="26">
        <v>0</v>
      </c>
      <c r="M14" s="26">
        <v>0.059999999999999998</v>
      </c>
      <c r="N14" s="26">
        <f t="shared" si="2"/>
        <v>120</v>
      </c>
      <c r="O14" s="31">
        <f t="shared" si="3"/>
        <v>21.7912501220496</v>
      </c>
      <c r="P14" s="26"/>
      <c r="Q14" s="33">
        <v>36</v>
      </c>
      <c r="R14" s="34">
        <f t="shared" si="9"/>
        <v>69.881471108122469</v>
      </c>
      <c r="T14" s="34">
        <v>2</v>
      </c>
      <c r="U14" s="30">
        <v>0</v>
      </c>
    </row>
    <row r="15">
      <c r="A15" s="23" t="s">
        <v>29</v>
      </c>
      <c r="B15" s="35">
        <v>10</v>
      </c>
      <c r="C15" s="35">
        <v>1</v>
      </c>
      <c r="D15" s="35">
        <v>3</v>
      </c>
      <c r="E15" s="35">
        <v>1.8999999999999999</v>
      </c>
      <c r="F15" s="35">
        <f t="shared" si="6"/>
        <v>6.3157894736842106</v>
      </c>
      <c r="G15" s="35">
        <v>530</v>
      </c>
      <c r="H15" s="35">
        <f t="shared" si="7"/>
        <v>33.817619042110735</v>
      </c>
      <c r="I15" s="37">
        <f t="shared" si="8"/>
        <v>1.0228251507321275</v>
      </c>
      <c r="J15" s="32"/>
      <c r="K15" s="36">
        <v>110</v>
      </c>
      <c r="L15" s="35">
        <v>0</v>
      </c>
      <c r="M15" s="35">
        <v>0.059999999999999998</v>
      </c>
      <c r="N15" s="35">
        <f t="shared" si="2"/>
        <v>110</v>
      </c>
      <c r="O15" s="37">
        <f t="shared" si="3"/>
        <v>19.975312611878799</v>
      </c>
      <c r="P15" s="26"/>
      <c r="Q15" s="36">
        <v>87</v>
      </c>
      <c r="R15" s="38">
        <f t="shared" si="9"/>
        <v>115.20524123280798</v>
      </c>
      <c r="T15" s="38">
        <v>3</v>
      </c>
      <c r="U15" s="39">
        <v>5</v>
      </c>
    </row>
    <row r="16">
      <c r="A16" s="23" t="s">
        <v>30</v>
      </c>
      <c r="B16" s="24">
        <v>15</v>
      </c>
      <c r="C16" s="24">
        <v>1</v>
      </c>
      <c r="D16" s="24">
        <v>4</v>
      </c>
      <c r="E16" s="24">
        <v>1.8</v>
      </c>
      <c r="F16" s="24">
        <f t="shared" si="6"/>
        <v>9.7222222222222214</v>
      </c>
      <c r="G16" s="24"/>
      <c r="H16" s="24">
        <f t="shared" si="7"/>
        <v>52.0572144976936</v>
      </c>
      <c r="I16" s="25">
        <v>1</v>
      </c>
      <c r="J16" s="26"/>
      <c r="K16" s="27">
        <v>200</v>
      </c>
      <c r="L16" s="24">
        <v>3</v>
      </c>
      <c r="M16" s="24">
        <v>0.059999999999999998</v>
      </c>
      <c r="N16" s="24">
        <f t="shared" si="2"/>
        <v>236</v>
      </c>
      <c r="O16" s="25">
        <f t="shared" si="3"/>
        <v>42.856125240030877</v>
      </c>
      <c r="P16" s="26"/>
      <c r="Q16" s="27">
        <v>17</v>
      </c>
      <c r="R16" s="34">
        <f t="shared" si="9"/>
        <v>89.530671790179582</v>
      </c>
      <c r="T16" s="34">
        <v>3</v>
      </c>
      <c r="U16" s="30">
        <v>4</v>
      </c>
    </row>
    <row r="17">
      <c r="A17" s="23" t="s">
        <v>31</v>
      </c>
      <c r="B17" s="26">
        <v>18</v>
      </c>
      <c r="C17" s="26">
        <v>1</v>
      </c>
      <c r="D17" s="26">
        <v>4</v>
      </c>
      <c r="E17" s="26">
        <v>1.8</v>
      </c>
      <c r="F17" s="26">
        <f t="shared" si="6"/>
        <v>11.388888888888889</v>
      </c>
      <c r="G17" s="26"/>
      <c r="H17" s="26">
        <f t="shared" si="7"/>
        <v>60.981308411583939</v>
      </c>
      <c r="I17" s="31">
        <v>1</v>
      </c>
      <c r="J17" s="32"/>
      <c r="K17" s="33">
        <v>375</v>
      </c>
      <c r="L17" s="26">
        <v>5</v>
      </c>
      <c r="M17" s="26">
        <v>0.059999999999999998</v>
      </c>
      <c r="N17" s="26">
        <f t="shared" si="2"/>
        <v>487.5</v>
      </c>
      <c r="O17" s="31">
        <f t="shared" si="3"/>
        <v>88.526953620826504</v>
      </c>
      <c r="P17" s="26"/>
      <c r="Q17" s="33">
        <v>32</v>
      </c>
      <c r="R17" s="34">
        <f t="shared" si="9"/>
        <v>145.20660962592837</v>
      </c>
      <c r="T17" s="34">
        <v>4</v>
      </c>
      <c r="U17" s="30">
        <v>5</v>
      </c>
    </row>
    <row r="18">
      <c r="A18" s="23" t="s">
        <v>32</v>
      </c>
      <c r="B18" s="35">
        <v>13</v>
      </c>
      <c r="C18" s="35">
        <v>1</v>
      </c>
      <c r="D18" s="35">
        <v>6</v>
      </c>
      <c r="E18" s="35">
        <v>1.8</v>
      </c>
      <c r="F18" s="35">
        <f t="shared" si="6"/>
        <v>9.1666666666666661</v>
      </c>
      <c r="G18" s="35">
        <v>480</v>
      </c>
      <c r="H18" s="35">
        <f t="shared" si="7"/>
        <v>49.082516526396823</v>
      </c>
      <c r="I18" s="37">
        <f t="shared" si="8"/>
        <v>1.0302197802197803</v>
      </c>
      <c r="J18" s="32"/>
      <c r="K18" s="36">
        <v>190</v>
      </c>
      <c r="L18" s="35">
        <v>1</v>
      </c>
      <c r="M18" s="35">
        <v>0.059999999999999998</v>
      </c>
      <c r="N18" s="35">
        <f t="shared" si="2"/>
        <v>201.40000000000001</v>
      </c>
      <c r="O18" s="37">
        <f t="shared" si="3"/>
        <v>36.572981454839912</v>
      </c>
      <c r="P18" s="26"/>
      <c r="Q18" s="36">
        <v>36</v>
      </c>
      <c r="R18" s="38">
        <f t="shared" si="9"/>
        <v>100.26552031420613</v>
      </c>
      <c r="T18" s="38">
        <v>3</v>
      </c>
      <c r="U18" s="39">
        <v>4</v>
      </c>
    </row>
    <row r="19">
      <c r="A19" s="23" t="s">
        <v>33</v>
      </c>
      <c r="B19" s="27">
        <v>24</v>
      </c>
      <c r="C19" s="24">
        <v>1</v>
      </c>
      <c r="D19" s="24">
        <v>11</v>
      </c>
      <c r="E19" s="24">
        <v>1.7</v>
      </c>
      <c r="F19" s="24">
        <f t="shared" si="6"/>
        <v>17.647058823529413</v>
      </c>
      <c r="G19" s="24"/>
      <c r="H19" s="24">
        <f t="shared" si="7"/>
        <v>94.490406147074111</v>
      </c>
      <c r="I19" s="25">
        <v>1</v>
      </c>
      <c r="J19" s="26"/>
      <c r="K19" s="27">
        <v>575</v>
      </c>
      <c r="L19" s="24">
        <v>3</v>
      </c>
      <c r="M19" s="24">
        <v>0.059999999999999998</v>
      </c>
      <c r="N19" s="24">
        <f t="shared" si="2"/>
        <v>678.5</v>
      </c>
      <c r="O19" s="25">
        <f t="shared" si="3"/>
        <v>123.21136006508878</v>
      </c>
      <c r="P19" s="26"/>
      <c r="Q19" s="33">
        <v>95</v>
      </c>
      <c r="R19" s="34">
        <f t="shared" si="9"/>
        <v>250.16141296973035</v>
      </c>
      <c r="T19" s="34">
        <v>6</v>
      </c>
      <c r="U19" s="30">
        <v>6</v>
      </c>
    </row>
    <row r="20">
      <c r="A20" s="23" t="s">
        <v>34</v>
      </c>
      <c r="B20" s="33">
        <v>49</v>
      </c>
      <c r="C20" s="26">
        <v>1</v>
      </c>
      <c r="D20" s="26">
        <v>11</v>
      </c>
      <c r="E20" s="26">
        <v>1.45</v>
      </c>
      <c r="F20" s="26">
        <f t="shared" si="6"/>
        <v>37.931034482758619</v>
      </c>
      <c r="G20" s="26"/>
      <c r="H20" s="26">
        <f t="shared" si="7"/>
        <v>203.10006838509031</v>
      </c>
      <c r="I20" s="31">
        <v>1</v>
      </c>
      <c r="J20" s="32"/>
      <c r="K20" s="33">
        <v>810</v>
      </c>
      <c r="L20" s="26">
        <v>3</v>
      </c>
      <c r="M20" s="26">
        <v>0.059999999999999998</v>
      </c>
      <c r="N20" s="26">
        <f t="shared" si="2"/>
        <v>955.79999999999995</v>
      </c>
      <c r="O20" s="31">
        <f t="shared" si="3"/>
        <v>173.56730722212507</v>
      </c>
      <c r="P20" s="26"/>
      <c r="Q20" s="33">
        <v>123</v>
      </c>
      <c r="R20" s="34">
        <f t="shared" si="9"/>
        <v>399.73390048577232</v>
      </c>
      <c r="T20" s="34">
        <v>7</v>
      </c>
      <c r="U20" s="30">
        <v>7</v>
      </c>
    </row>
    <row r="21">
      <c r="A21" s="23" t="s">
        <v>35</v>
      </c>
      <c r="B21" s="36">
        <v>32</v>
      </c>
      <c r="C21" s="35">
        <v>1</v>
      </c>
      <c r="D21" s="35">
        <v>11</v>
      </c>
      <c r="E21" s="35">
        <v>1.7</v>
      </c>
      <c r="F21" s="35">
        <f t="shared" si="6"/>
        <v>22.352941176470591</v>
      </c>
      <c r="G21" s="35"/>
      <c r="H21" s="35">
        <f t="shared" si="7"/>
        <v>119.68784778629389</v>
      </c>
      <c r="I21" s="37">
        <v>1</v>
      </c>
      <c r="J21" s="32"/>
      <c r="K21" s="36">
        <v>1250</v>
      </c>
      <c r="L21" s="35">
        <v>3</v>
      </c>
      <c r="M21" s="35">
        <v>0.059999999999999998</v>
      </c>
      <c r="N21" s="35">
        <f t="shared" si="2"/>
        <v>1475</v>
      </c>
      <c r="O21" s="37">
        <f t="shared" si="3"/>
        <v>267.85078275019299</v>
      </c>
      <c r="P21" s="26"/>
      <c r="Q21" s="36">
        <v>237</v>
      </c>
      <c r="R21" s="38">
        <f t="shared" si="9"/>
        <v>499.63090442918951</v>
      </c>
      <c r="T21" s="38">
        <v>8</v>
      </c>
      <c r="U21" s="39">
        <v>9</v>
      </c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6"/>
      <c r="U22" s="2"/>
    </row>
    <row r="24">
      <c r="T24" s="43"/>
    </row>
    <row r="25">
      <c r="A25" s="2"/>
      <c r="B25" s="3"/>
      <c r="C25" s="4"/>
      <c r="D25" s="4"/>
      <c r="E25" s="4"/>
      <c r="F25" s="4"/>
      <c r="G25" s="4"/>
      <c r="H25" s="4"/>
      <c r="I25" s="5"/>
      <c r="K25" s="44"/>
      <c r="L25" s="44"/>
      <c r="M25" s="44"/>
      <c r="N25" s="44"/>
      <c r="O25" s="44"/>
      <c r="P25" s="2"/>
      <c r="Q25" s="10"/>
      <c r="R25" s="11"/>
      <c r="T25" s="12"/>
      <c r="U25" s="45"/>
    </row>
    <row r="26" ht="16.5">
      <c r="A26" s="14" t="s">
        <v>36</v>
      </c>
      <c r="B26" s="15" t="s">
        <v>1</v>
      </c>
      <c r="C26" s="16" t="s">
        <v>2</v>
      </c>
      <c r="D26" s="16" t="s">
        <v>3</v>
      </c>
      <c r="E26" s="16" t="s">
        <v>4</v>
      </c>
      <c r="F26" s="16" t="s">
        <v>5</v>
      </c>
      <c r="G26" s="16" t="s">
        <v>6</v>
      </c>
      <c r="H26" s="17" t="s">
        <v>7</v>
      </c>
      <c r="I26" s="17" t="s">
        <v>8</v>
      </c>
      <c r="K26" s="16" t="s">
        <v>9</v>
      </c>
      <c r="L26" s="16" t="s">
        <v>10</v>
      </c>
      <c r="M26" s="16" t="s">
        <v>11</v>
      </c>
      <c r="N26" s="16" t="s">
        <v>12</v>
      </c>
      <c r="O26" s="17" t="s">
        <v>13</v>
      </c>
      <c r="P26" s="2"/>
      <c r="Q26" s="17" t="s">
        <v>14</v>
      </c>
      <c r="R26" s="19" t="s">
        <v>15</v>
      </c>
      <c r="T26" s="20" t="s">
        <v>16</v>
      </c>
      <c r="U26" s="20" t="s">
        <v>17</v>
      </c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1"/>
      <c r="T27" s="26"/>
      <c r="U27" s="22"/>
      <c r="V27" s="2"/>
      <c r="W27" s="46"/>
    </row>
    <row r="28">
      <c r="A28" s="40" t="s">
        <v>37</v>
      </c>
      <c r="B28" s="27">
        <v>7</v>
      </c>
      <c r="C28" s="24">
        <v>1</v>
      </c>
      <c r="D28" s="24">
        <v>2</v>
      </c>
      <c r="E28" s="24">
        <v>2.25</v>
      </c>
      <c r="F28" s="24">
        <f t="shared" si="6"/>
        <v>3.7777777777777777</v>
      </c>
      <c r="G28" s="24"/>
      <c r="H28" s="24">
        <f t="shared" si="7"/>
        <v>20.227946204818085</v>
      </c>
      <c r="I28" s="25">
        <v>1</v>
      </c>
      <c r="J28" s="26"/>
      <c r="K28" s="27">
        <v>165</v>
      </c>
      <c r="L28" s="24">
        <v>0</v>
      </c>
      <c r="M28" s="24">
        <v>0.059999999999999998</v>
      </c>
      <c r="N28" s="24">
        <f t="shared" ref="N28:N91" si="10">K28*(L28*M28+1)</f>
        <v>165</v>
      </c>
      <c r="O28" s="25">
        <f t="shared" ref="O28:O91" si="11">N28*0.18159375101708</f>
        <v>29.962968917818202</v>
      </c>
      <c r="P28" s="26"/>
      <c r="Q28" s="27">
        <v>12</v>
      </c>
      <c r="R28" s="28">
        <f t="shared" si="9"/>
        <v>49.752732098109028</v>
      </c>
      <c r="T28" s="28">
        <v>2</v>
      </c>
      <c r="U28" s="30">
        <v>0</v>
      </c>
      <c r="W28" s="46"/>
      <c r="AM28" t="s">
        <v>38</v>
      </c>
    </row>
    <row r="29">
      <c r="A29" s="40" t="s">
        <v>39</v>
      </c>
      <c r="B29" s="33">
        <v>7</v>
      </c>
      <c r="C29" s="26">
        <v>1</v>
      </c>
      <c r="D29" s="26">
        <v>2</v>
      </c>
      <c r="E29" s="26">
        <v>2.25</v>
      </c>
      <c r="F29" s="26">
        <f t="shared" si="6"/>
        <v>3.7777777777777777</v>
      </c>
      <c r="G29" s="26"/>
      <c r="H29" s="26">
        <f t="shared" si="7"/>
        <v>20.227946204818085</v>
      </c>
      <c r="I29" s="31">
        <f t="shared" si="8"/>
        <v>1</v>
      </c>
      <c r="J29" s="32"/>
      <c r="K29" s="33">
        <v>180</v>
      </c>
      <c r="L29" s="26">
        <v>0</v>
      </c>
      <c r="M29" s="26">
        <v>0.059999999999999998</v>
      </c>
      <c r="N29" s="26">
        <f t="shared" si="10"/>
        <v>180</v>
      </c>
      <c r="O29" s="31">
        <f t="shared" si="11"/>
        <v>32.686875183074399</v>
      </c>
      <c r="P29" s="26"/>
      <c r="Q29" s="33">
        <v>34</v>
      </c>
      <c r="R29" s="34">
        <f t="shared" si="9"/>
        <v>69.531857110313993</v>
      </c>
      <c r="T29" s="34">
        <v>2</v>
      </c>
      <c r="U29" s="30">
        <v>0</v>
      </c>
      <c r="W29" s="46"/>
    </row>
    <row r="30">
      <c r="A30" s="40" t="s">
        <v>40</v>
      </c>
      <c r="B30" s="33">
        <v>26</v>
      </c>
      <c r="C30" s="26">
        <v>1</v>
      </c>
      <c r="D30" s="26">
        <v>6</v>
      </c>
      <c r="E30" s="26">
        <v>1.7</v>
      </c>
      <c r="F30" s="26">
        <f t="shared" si="6"/>
        <v>17.352941176470587</v>
      </c>
      <c r="G30" s="26"/>
      <c r="H30" s="26">
        <f t="shared" si="7"/>
        <v>92.915566044622864</v>
      </c>
      <c r="I30" s="31">
        <v>1</v>
      </c>
      <c r="J30" s="32"/>
      <c r="K30" s="33">
        <v>250</v>
      </c>
      <c r="L30" s="26">
        <v>3</v>
      </c>
      <c r="M30" s="26">
        <v>0.059999999999999998</v>
      </c>
      <c r="N30" s="26">
        <f t="shared" si="10"/>
        <v>295</v>
      </c>
      <c r="O30" s="31">
        <f t="shared" si="11"/>
        <v>53.570156550038604</v>
      </c>
      <c r="P30" s="46"/>
      <c r="Q30" s="33">
        <v>28</v>
      </c>
      <c r="R30" s="38">
        <f t="shared" si="9"/>
        <v>139.58857807572917</v>
      </c>
      <c r="T30" s="38">
        <v>5</v>
      </c>
      <c r="U30" s="39">
        <v>5</v>
      </c>
      <c r="W30" s="46"/>
    </row>
    <row r="31">
      <c r="A31" s="40" t="s">
        <v>41</v>
      </c>
      <c r="B31" s="27">
        <v>11</v>
      </c>
      <c r="C31" s="24">
        <v>1</v>
      </c>
      <c r="D31" s="24">
        <v>2</v>
      </c>
      <c r="E31" s="24">
        <v>2.1499999999999999</v>
      </c>
      <c r="F31" s="24">
        <f t="shared" si="6"/>
        <v>5.8139534883720936</v>
      </c>
      <c r="G31" s="24">
        <v>500</v>
      </c>
      <c r="H31" s="24">
        <f t="shared" si="7"/>
        <v>31.130560164733723</v>
      </c>
      <c r="I31" s="25">
        <f t="shared" si="8"/>
        <v>1.0197628458498025</v>
      </c>
      <c r="J31" s="32"/>
      <c r="K31" s="27">
        <v>75</v>
      </c>
      <c r="L31" s="24">
        <v>0</v>
      </c>
      <c r="M31" s="24">
        <v>0.059999999999999998</v>
      </c>
      <c r="N31" s="24">
        <f t="shared" si="10"/>
        <v>75</v>
      </c>
      <c r="O31" s="25">
        <f t="shared" si="11"/>
        <v>13.619531326281001</v>
      </c>
      <c r="P31" s="46"/>
      <c r="Q31" s="27">
        <v>11</v>
      </c>
      <c r="R31" s="34">
        <f t="shared" si="9"/>
        <v>45.481497564211224</v>
      </c>
      <c r="T31" s="34">
        <v>3</v>
      </c>
      <c r="U31" s="30">
        <v>0</v>
      </c>
      <c r="W31" s="46"/>
    </row>
    <row r="32">
      <c r="A32" s="23" t="s">
        <v>42</v>
      </c>
      <c r="B32" s="26">
        <v>7</v>
      </c>
      <c r="C32" s="26">
        <v>1</v>
      </c>
      <c r="D32" s="26">
        <v>3</v>
      </c>
      <c r="E32" s="26">
        <v>1.75</v>
      </c>
      <c r="F32" s="26">
        <f t="shared" si="6"/>
        <v>5.1428571428571432</v>
      </c>
      <c r="G32" s="26">
        <v>620</v>
      </c>
      <c r="H32" s="26">
        <f t="shared" si="7"/>
        <v>27.537204077147315</v>
      </c>
      <c r="I32" s="31">
        <f t="shared" si="8"/>
        <v>1.0217188229799159</v>
      </c>
      <c r="J32" s="26"/>
      <c r="K32" s="33">
        <v>80</v>
      </c>
      <c r="L32" s="26">
        <v>0</v>
      </c>
      <c r="M32" s="26">
        <v>0.059999999999999998</v>
      </c>
      <c r="N32" s="26">
        <f t="shared" si="10"/>
        <v>80</v>
      </c>
      <c r="O32" s="31">
        <f t="shared" si="11"/>
        <v>14.5275000813664</v>
      </c>
      <c r="P32" s="46"/>
      <c r="Q32" s="47">
        <v>80</v>
      </c>
      <c r="R32" s="48">
        <f t="shared" si="9"/>
        <v>99.772644688182623</v>
      </c>
      <c r="T32" s="34">
        <v>1</v>
      </c>
      <c r="U32" s="30">
        <v>2</v>
      </c>
      <c r="W32" s="46"/>
    </row>
    <row r="33">
      <c r="A33" s="40" t="s">
        <v>43</v>
      </c>
      <c r="B33" s="36">
        <v>10</v>
      </c>
      <c r="C33" s="35">
        <v>1</v>
      </c>
      <c r="D33" s="35">
        <v>2</v>
      </c>
      <c r="E33" s="35">
        <v>2.1499999999999999</v>
      </c>
      <c r="F33" s="35">
        <f t="shared" si="6"/>
        <v>5.3488372093023262</v>
      </c>
      <c r="G33" s="35">
        <v>500</v>
      </c>
      <c r="H33" s="35">
        <f t="shared" si="7"/>
        <v>28.640115351555025</v>
      </c>
      <c r="I33" s="37">
        <f t="shared" si="8"/>
        <v>1.0181531176006315</v>
      </c>
      <c r="J33" s="32"/>
      <c r="K33" s="36">
        <v>90</v>
      </c>
      <c r="L33" s="35">
        <v>0</v>
      </c>
      <c r="M33" s="35">
        <v>0.059999999999999998</v>
      </c>
      <c r="N33" s="35">
        <f t="shared" si="10"/>
        <v>90</v>
      </c>
      <c r="O33" s="37">
        <f t="shared" si="11"/>
        <v>16.343437591537199</v>
      </c>
      <c r="P33" s="46"/>
      <c r="Q33" s="36">
        <v>53</v>
      </c>
      <c r="R33" s="38">
        <f t="shared" si="9"/>
        <v>79.809807922076715</v>
      </c>
      <c r="T33" s="38">
        <v>4</v>
      </c>
      <c r="U33" s="39">
        <v>4</v>
      </c>
      <c r="W33" s="46"/>
    </row>
    <row r="34">
      <c r="A34" s="40" t="s">
        <v>44</v>
      </c>
      <c r="B34" s="27">
        <v>13</v>
      </c>
      <c r="C34" s="24">
        <v>1</v>
      </c>
      <c r="D34" s="24">
        <v>3</v>
      </c>
      <c r="E34" s="24">
        <v>2.1000000000000001</v>
      </c>
      <c r="F34" s="24">
        <f t="shared" si="6"/>
        <v>7.1428571428571423</v>
      </c>
      <c r="G34" s="24"/>
      <c r="H34" s="24">
        <f t="shared" si="7"/>
        <v>38.246116773815707</v>
      </c>
      <c r="I34" s="25">
        <v>1</v>
      </c>
      <c r="J34" s="32"/>
      <c r="K34" s="27">
        <v>210</v>
      </c>
      <c r="L34" s="24">
        <v>3</v>
      </c>
      <c r="M34" s="24">
        <v>0.059999999999999998</v>
      </c>
      <c r="N34" s="24">
        <f t="shared" si="10"/>
        <v>247.79999999999998</v>
      </c>
      <c r="O34" s="25">
        <f t="shared" si="11"/>
        <v>44.99893150203242</v>
      </c>
      <c r="P34" s="46"/>
      <c r="Q34" s="27">
        <v>23</v>
      </c>
      <c r="R34" s="34">
        <f t="shared" si="9"/>
        <v>84.996038620678505</v>
      </c>
      <c r="T34" s="34">
        <v>3</v>
      </c>
      <c r="U34" s="30">
        <v>4</v>
      </c>
      <c r="W34" s="46"/>
    </row>
    <row r="35">
      <c r="A35" s="40" t="s">
        <v>45</v>
      </c>
      <c r="B35" s="33">
        <v>16</v>
      </c>
      <c r="C35" s="26">
        <v>1</v>
      </c>
      <c r="D35" s="26">
        <v>3</v>
      </c>
      <c r="E35" s="26">
        <v>1.5</v>
      </c>
      <c r="F35" s="26">
        <f t="shared" si="6"/>
        <v>12</v>
      </c>
      <c r="G35" s="26">
        <v>620</v>
      </c>
      <c r="H35" s="26">
        <f t="shared" si="7"/>
        <v>64.253476180010395</v>
      </c>
      <c r="I35" s="31">
        <f t="shared" si="8"/>
        <v>1.0521885521885523</v>
      </c>
      <c r="J35" s="32"/>
      <c r="K35" s="33">
        <v>210</v>
      </c>
      <c r="L35" s="26">
        <v>3</v>
      </c>
      <c r="M35" s="26">
        <v>0.059999999999999998</v>
      </c>
      <c r="N35" s="26">
        <f t="shared" si="10"/>
        <v>247.79999999999998</v>
      </c>
      <c r="O35" s="31">
        <f t="shared" si="11"/>
        <v>44.99893150203242</v>
      </c>
      <c r="P35" s="46"/>
      <c r="Q35" s="33">
        <v>152</v>
      </c>
      <c r="R35" s="34">
        <f t="shared" si="9"/>
        <v>219.90943407579368</v>
      </c>
      <c r="T35" s="34">
        <v>4</v>
      </c>
      <c r="U35" s="30">
        <v>6</v>
      </c>
      <c r="W35" s="46"/>
    </row>
    <row r="36">
      <c r="A36" s="40" t="s">
        <v>46</v>
      </c>
      <c r="B36" s="36">
        <v>13</v>
      </c>
      <c r="C36" s="35">
        <v>1</v>
      </c>
      <c r="D36" s="35">
        <v>3</v>
      </c>
      <c r="E36" s="35">
        <v>2.1000000000000001</v>
      </c>
      <c r="F36" s="35">
        <f t="shared" si="6"/>
        <v>7.1428571428571423</v>
      </c>
      <c r="G36" s="35"/>
      <c r="H36" s="35">
        <f t="shared" si="7"/>
        <v>38.246116773815707</v>
      </c>
      <c r="I36" s="37">
        <v>1</v>
      </c>
      <c r="J36" s="26"/>
      <c r="K36" s="36">
        <v>245</v>
      </c>
      <c r="L36" s="35">
        <v>4</v>
      </c>
      <c r="M36" s="35">
        <v>0.059999999999999998</v>
      </c>
      <c r="N36" s="35">
        <f t="shared" si="10"/>
        <v>303.80000000000001</v>
      </c>
      <c r="O36" s="37">
        <f t="shared" si="11"/>
        <v>55.168181558988906</v>
      </c>
      <c r="P36" s="46"/>
      <c r="Q36" s="36">
        <v>82</v>
      </c>
      <c r="R36" s="38">
        <f t="shared" si="9"/>
        <v>140.33143866624368</v>
      </c>
      <c r="T36" s="38">
        <v>3</v>
      </c>
      <c r="U36" s="39">
        <v>4</v>
      </c>
    </row>
    <row r="37">
      <c r="A37" s="40" t="s">
        <v>47</v>
      </c>
      <c r="B37" s="33">
        <v>9</v>
      </c>
      <c r="C37" s="26">
        <v>1</v>
      </c>
      <c r="D37" s="26">
        <v>1</v>
      </c>
      <c r="E37" s="26">
        <v>2.25</v>
      </c>
      <c r="F37" s="26">
        <f t="shared" si="6"/>
        <v>4.4444444444444446</v>
      </c>
      <c r="G37" s="26">
        <v>550</v>
      </c>
      <c r="H37" s="26">
        <f t="shared" si="7"/>
        <v>23.797583770374221</v>
      </c>
      <c r="I37" s="31">
        <f t="shared" si="8"/>
        <v>1.0165662650602409</v>
      </c>
      <c r="J37" s="32"/>
      <c r="K37" s="33">
        <v>90</v>
      </c>
      <c r="L37" s="26">
        <v>0</v>
      </c>
      <c r="M37" s="26">
        <v>0.059999999999999998</v>
      </c>
      <c r="N37" s="26">
        <f t="shared" si="10"/>
        <v>90</v>
      </c>
      <c r="O37" s="31">
        <f t="shared" si="11"/>
        <v>16.343437591537199</v>
      </c>
      <c r="P37" s="46"/>
      <c r="Q37" s="33">
        <v>52</v>
      </c>
      <c r="R37" s="34">
        <f t="shared" si="9"/>
        <v>74.933963155771323</v>
      </c>
      <c r="T37" s="34">
        <v>4</v>
      </c>
      <c r="U37" s="30">
        <v>4</v>
      </c>
    </row>
    <row r="38">
      <c r="A38" s="40" t="s">
        <v>48</v>
      </c>
      <c r="B38" s="33">
        <v>8</v>
      </c>
      <c r="C38" s="26">
        <v>1</v>
      </c>
      <c r="D38" s="26">
        <v>3</v>
      </c>
      <c r="E38" s="26">
        <v>1.97</v>
      </c>
      <c r="F38" s="26">
        <f t="shared" si="6"/>
        <v>5.0761421319796955</v>
      </c>
      <c r="G38" s="26">
        <v>620</v>
      </c>
      <c r="H38" s="26">
        <f t="shared" si="7"/>
        <v>27.179981463625378</v>
      </c>
      <c r="I38" s="31">
        <f t="shared" si="8"/>
        <v>1.0214310404424471</v>
      </c>
      <c r="J38" s="32"/>
      <c r="K38" s="33">
        <v>100</v>
      </c>
      <c r="L38" s="26">
        <v>0</v>
      </c>
      <c r="M38" s="26">
        <v>0.059999999999999998</v>
      </c>
      <c r="N38" s="26">
        <f t="shared" si="10"/>
        <v>100</v>
      </c>
      <c r="O38" s="31">
        <f t="shared" si="11"/>
        <v>18.159375101708001</v>
      </c>
      <c r="P38" s="46"/>
      <c r="Q38" s="33">
        <v>77</v>
      </c>
      <c r="R38" s="34">
        <f t="shared" si="9"/>
        <v>99.9689730108704</v>
      </c>
      <c r="T38" s="34">
        <v>1</v>
      </c>
      <c r="U38" s="30">
        <v>3</v>
      </c>
    </row>
    <row r="39">
      <c r="A39" s="40" t="s">
        <v>49</v>
      </c>
      <c r="B39" s="36">
        <v>8</v>
      </c>
      <c r="C39" s="35">
        <v>1</v>
      </c>
      <c r="D39" s="35">
        <v>3</v>
      </c>
      <c r="E39" s="35">
        <v>1.97</v>
      </c>
      <c r="F39" s="35">
        <f t="shared" si="6"/>
        <v>5.0761421319796955</v>
      </c>
      <c r="G39" s="35">
        <v>650</v>
      </c>
      <c r="H39" s="35">
        <f t="shared" si="7"/>
        <v>27.179981463625378</v>
      </c>
      <c r="I39" s="37">
        <f t="shared" si="8"/>
        <v>1.0224913494809689</v>
      </c>
      <c r="J39" s="2"/>
      <c r="K39" s="36">
        <v>120</v>
      </c>
      <c r="L39" s="35">
        <v>0</v>
      </c>
      <c r="M39" s="35">
        <v>0.059999999999999998</v>
      </c>
      <c r="N39" s="35">
        <f t="shared" si="10"/>
        <v>120</v>
      </c>
      <c r="O39" s="37">
        <f t="shared" si="11"/>
        <v>21.7912501220496</v>
      </c>
      <c r="P39" s="46"/>
      <c r="Q39" s="36">
        <v>49</v>
      </c>
      <c r="R39" s="38">
        <f t="shared" si="9"/>
        <v>80.139789435479486</v>
      </c>
      <c r="T39" s="38">
        <v>2</v>
      </c>
      <c r="U39" s="39">
        <v>3</v>
      </c>
    </row>
    <row r="40">
      <c r="A40" s="40" t="s">
        <v>50</v>
      </c>
      <c r="B40" s="27">
        <v>24</v>
      </c>
      <c r="C40" s="24">
        <v>1</v>
      </c>
      <c r="D40" s="24">
        <v>6</v>
      </c>
      <c r="E40" s="24">
        <v>2.25</v>
      </c>
      <c r="F40" s="24">
        <f t="shared" si="6"/>
        <v>12.222222222222221</v>
      </c>
      <c r="G40" s="24"/>
      <c r="H40" s="24">
        <f t="shared" si="7"/>
        <v>65.443355368529097</v>
      </c>
      <c r="I40" s="25">
        <v>1</v>
      </c>
      <c r="K40" s="27">
        <v>410</v>
      </c>
      <c r="L40" s="24">
        <v>4</v>
      </c>
      <c r="M40" s="24">
        <v>0.059999999999999998</v>
      </c>
      <c r="N40" s="24">
        <f t="shared" si="10"/>
        <v>508.39999999999998</v>
      </c>
      <c r="O40" s="25">
        <f t="shared" si="11"/>
        <v>92.322263017083472</v>
      </c>
      <c r="P40" s="46"/>
      <c r="Q40" s="27">
        <v>24</v>
      </c>
      <c r="R40" s="34">
        <f t="shared" si="9"/>
        <v>145.41249470849007</v>
      </c>
      <c r="T40" s="34">
        <v>4</v>
      </c>
      <c r="U40" s="30">
        <v>5</v>
      </c>
    </row>
    <row r="41">
      <c r="A41" s="40" t="s">
        <v>51</v>
      </c>
      <c r="B41" s="33">
        <v>24</v>
      </c>
      <c r="C41" s="26">
        <v>1</v>
      </c>
      <c r="D41" s="26">
        <v>6</v>
      </c>
      <c r="E41" s="26">
        <v>2.1000000000000001</v>
      </c>
      <c r="F41" s="26">
        <f t="shared" si="6"/>
        <v>13.095238095238095</v>
      </c>
      <c r="G41" s="26"/>
      <c r="H41" s="26">
        <f t="shared" si="7"/>
        <v>70.117880751995472</v>
      </c>
      <c r="I41" s="31">
        <f t="shared" si="8"/>
        <v>1</v>
      </c>
      <c r="K41" s="33">
        <v>410</v>
      </c>
      <c r="L41" s="26">
        <v>4</v>
      </c>
      <c r="M41" s="26">
        <v>0.059999999999999998</v>
      </c>
      <c r="N41" s="26">
        <f t="shared" si="10"/>
        <v>508.39999999999998</v>
      </c>
      <c r="O41" s="31">
        <f t="shared" si="11"/>
        <v>92.322263017083472</v>
      </c>
      <c r="P41" s="46"/>
      <c r="Q41" s="33">
        <v>88</v>
      </c>
      <c r="R41" s="34">
        <f t="shared" si="9"/>
        <v>200.35211501526317</v>
      </c>
      <c r="T41" s="34">
        <v>5</v>
      </c>
      <c r="U41" s="30">
        <v>6</v>
      </c>
    </row>
    <row r="42">
      <c r="A42" s="40" t="s">
        <v>52</v>
      </c>
      <c r="B42" s="36">
        <v>25</v>
      </c>
      <c r="C42" s="35">
        <v>1</v>
      </c>
      <c r="D42" s="35">
        <v>3</v>
      </c>
      <c r="E42" s="35">
        <v>2.1000000000000001</v>
      </c>
      <c r="F42" s="35">
        <f t="shared" si="6"/>
        <v>12.857142857142856</v>
      </c>
      <c r="G42" s="35">
        <v>420</v>
      </c>
      <c r="H42" s="35">
        <f t="shared" si="7"/>
        <v>68.843010192868277</v>
      </c>
      <c r="I42" s="37">
        <f t="shared" si="8"/>
        <v>1.0373443983402488</v>
      </c>
      <c r="K42" s="36">
        <v>310</v>
      </c>
      <c r="L42" s="35">
        <v>3</v>
      </c>
      <c r="M42" s="35">
        <v>0.059999999999999998</v>
      </c>
      <c r="N42" s="35">
        <f t="shared" si="10"/>
        <v>365.79999999999995</v>
      </c>
      <c r="O42" s="37">
        <f t="shared" si="11"/>
        <v>66.426994122047859</v>
      </c>
      <c r="P42" s="46"/>
      <c r="Q42" s="36">
        <v>96</v>
      </c>
      <c r="R42" s="38">
        <f t="shared" si="9"/>
        <v>191.92531478416277</v>
      </c>
      <c r="T42" s="38">
        <v>4</v>
      </c>
      <c r="U42" s="39">
        <v>5</v>
      </c>
    </row>
    <row r="43">
      <c r="A43" s="40" t="s">
        <v>53</v>
      </c>
      <c r="B43" s="33">
        <v>20</v>
      </c>
      <c r="C43" s="26">
        <v>1</v>
      </c>
      <c r="D43" s="26">
        <v>3</v>
      </c>
      <c r="E43" s="26">
        <v>2.1000000000000001</v>
      </c>
      <c r="F43" s="26">
        <f t="shared" si="6"/>
        <v>10.476190476190476</v>
      </c>
      <c r="G43" s="26">
        <v>510</v>
      </c>
      <c r="H43" s="26">
        <f t="shared" si="7"/>
        <v>56.094304601596377</v>
      </c>
      <c r="I43" s="31">
        <f t="shared" si="8"/>
        <v>1.0369346237408652</v>
      </c>
      <c r="K43" s="33">
        <v>240</v>
      </c>
      <c r="L43" s="26">
        <v>2</v>
      </c>
      <c r="M43" s="26">
        <v>0.059999999999999998</v>
      </c>
      <c r="N43" s="26">
        <f t="shared" si="10"/>
        <v>268.80000000000001</v>
      </c>
      <c r="O43" s="31">
        <f t="shared" si="11"/>
        <v>48.812400273391106</v>
      </c>
      <c r="P43" s="26"/>
      <c r="Q43" s="33">
        <v>64</v>
      </c>
      <c r="R43" s="34">
        <f t="shared" si="9"/>
        <v>140.11616837348365</v>
      </c>
      <c r="T43" s="34">
        <v>3</v>
      </c>
      <c r="U43" s="30">
        <v>3</v>
      </c>
    </row>
    <row r="44">
      <c r="A44" s="40" t="s">
        <v>54</v>
      </c>
      <c r="B44" s="33">
        <v>34</v>
      </c>
      <c r="C44" s="26">
        <v>1</v>
      </c>
      <c r="D44" s="26">
        <v>3</v>
      </c>
      <c r="E44" s="26">
        <v>2.1000000000000001</v>
      </c>
      <c r="F44" s="26">
        <f t="shared" si="6"/>
        <v>17.142857142857142</v>
      </c>
      <c r="G44" s="26"/>
      <c r="H44" s="26">
        <f t="shared" si="7"/>
        <v>91.790680257157703</v>
      </c>
      <c r="I44" s="31">
        <v>1</v>
      </c>
      <c r="K44" s="33">
        <v>400</v>
      </c>
      <c r="L44" s="26">
        <v>7</v>
      </c>
      <c r="M44" s="26">
        <v>0.059999999999999998</v>
      </c>
      <c r="N44" s="26">
        <f t="shared" si="10"/>
        <v>568</v>
      </c>
      <c r="O44" s="31">
        <f t="shared" si="11"/>
        <v>103.14525057770145</v>
      </c>
      <c r="P44" s="2"/>
      <c r="Q44" s="33">
        <v>74</v>
      </c>
      <c r="R44" s="34">
        <f t="shared" si="9"/>
        <v>215.14874466788734</v>
      </c>
      <c r="T44" s="34">
        <v>5</v>
      </c>
      <c r="U44" s="30">
        <v>6</v>
      </c>
    </row>
    <row r="45">
      <c r="A45" s="40" t="s">
        <v>55</v>
      </c>
      <c r="B45" s="36">
        <v>25</v>
      </c>
      <c r="C45" s="35">
        <v>1</v>
      </c>
      <c r="D45" s="35">
        <v>3</v>
      </c>
      <c r="E45" s="35">
        <v>1.8500000000000001</v>
      </c>
      <c r="F45" s="35">
        <f t="shared" si="6"/>
        <v>14.594594594594595</v>
      </c>
      <c r="G45" s="35"/>
      <c r="H45" s="35">
        <f t="shared" si="7"/>
        <v>78.146119678391017</v>
      </c>
      <c r="I45" s="37">
        <f t="shared" si="8"/>
        <v>1</v>
      </c>
      <c r="K45" s="36">
        <v>680</v>
      </c>
      <c r="L45" s="35">
        <v>7</v>
      </c>
      <c r="M45" s="35">
        <v>0.059999999999999998</v>
      </c>
      <c r="N45" s="35">
        <f t="shared" si="10"/>
        <v>965.59999999999991</v>
      </c>
      <c r="O45" s="37">
        <f t="shared" si="11"/>
        <v>175.34692598209244</v>
      </c>
      <c r="Q45" s="36">
        <v>247</v>
      </c>
      <c r="R45" s="38">
        <f t="shared" si="9"/>
        <v>400.39443652838679</v>
      </c>
      <c r="T45" s="38">
        <v>7</v>
      </c>
      <c r="U45" s="39">
        <v>8</v>
      </c>
    </row>
    <row r="46">
      <c r="A46" s="26"/>
      <c r="B46" s="26"/>
      <c r="C46" s="26"/>
      <c r="D46" s="26"/>
      <c r="E46" s="26"/>
      <c r="F46" s="26"/>
      <c r="G46" s="26"/>
      <c r="H46" s="26"/>
      <c r="I46" s="26"/>
      <c r="K46" s="26"/>
      <c r="L46" s="26"/>
      <c r="M46" s="26"/>
      <c r="N46" s="26"/>
      <c r="O46" s="26"/>
      <c r="P46" s="2"/>
      <c r="Q46" s="26"/>
      <c r="R46" s="49"/>
      <c r="T46" s="43"/>
    </row>
    <row r="47">
      <c r="T47" s="43"/>
    </row>
    <row r="48">
      <c r="T48" s="43"/>
    </row>
    <row r="49">
      <c r="A49" s="2"/>
      <c r="B49" s="3"/>
      <c r="C49" s="4"/>
      <c r="D49" s="4"/>
      <c r="E49" s="4"/>
      <c r="F49" s="4"/>
      <c r="G49" s="4"/>
      <c r="H49" s="4"/>
      <c r="I49" s="5"/>
      <c r="K49" s="44"/>
      <c r="L49" s="44"/>
      <c r="M49" s="44"/>
      <c r="N49" s="44"/>
      <c r="O49" s="44"/>
      <c r="P49" s="2"/>
      <c r="Q49" s="10"/>
      <c r="R49" s="11"/>
      <c r="T49" s="12"/>
      <c r="U49" s="45"/>
    </row>
    <row r="50" ht="16.5">
      <c r="A50" s="14" t="s">
        <v>56</v>
      </c>
      <c r="B50" s="15" t="s">
        <v>1</v>
      </c>
      <c r="C50" s="16" t="s">
        <v>2</v>
      </c>
      <c r="D50" s="16" t="s">
        <v>3</v>
      </c>
      <c r="E50" s="16" t="s">
        <v>4</v>
      </c>
      <c r="F50" s="16" t="s">
        <v>5</v>
      </c>
      <c r="G50" s="16" t="s">
        <v>6</v>
      </c>
      <c r="H50" s="17" t="s">
        <v>7</v>
      </c>
      <c r="I50" s="17" t="s">
        <v>8</v>
      </c>
      <c r="K50" s="16" t="s">
        <v>9</v>
      </c>
      <c r="L50" s="16" t="s">
        <v>10</v>
      </c>
      <c r="M50" s="16" t="s">
        <v>11</v>
      </c>
      <c r="N50" s="16" t="s">
        <v>12</v>
      </c>
      <c r="O50" s="17" t="s">
        <v>13</v>
      </c>
      <c r="P50" s="2"/>
      <c r="Q50" s="17" t="s">
        <v>14</v>
      </c>
      <c r="R50" s="19" t="s">
        <v>15</v>
      </c>
      <c r="T50" s="20" t="s">
        <v>16</v>
      </c>
      <c r="U50" s="20" t="s">
        <v>17</v>
      </c>
    </row>
    <row r="51">
      <c r="A51" s="2"/>
      <c r="B51" s="2"/>
      <c r="C51" s="2"/>
      <c r="D51" s="2"/>
      <c r="E51" s="2"/>
      <c r="F51" s="2"/>
      <c r="G51" s="2"/>
      <c r="H51" s="2"/>
      <c r="I51" s="2"/>
      <c r="K51" s="2"/>
      <c r="L51" s="2"/>
      <c r="M51" s="2"/>
      <c r="N51" s="2"/>
      <c r="O51" s="2"/>
      <c r="P51" s="2"/>
      <c r="Q51" s="2"/>
      <c r="R51" s="21"/>
      <c r="T51" s="26"/>
      <c r="U51" s="22"/>
    </row>
    <row r="52">
      <c r="A52" s="40" t="s">
        <v>57</v>
      </c>
      <c r="B52" s="27">
        <v>7</v>
      </c>
      <c r="C52" s="24">
        <v>1</v>
      </c>
      <c r="D52" s="24">
        <v>3</v>
      </c>
      <c r="E52" s="24">
        <v>2.1000000000000001</v>
      </c>
      <c r="F52" s="24">
        <f t="shared" si="6"/>
        <v>4.2857142857142856</v>
      </c>
      <c r="G52" s="24"/>
      <c r="H52" s="24">
        <f t="shared" si="7"/>
        <v>22.947670064289426</v>
      </c>
      <c r="I52" s="25">
        <v>1</v>
      </c>
      <c r="K52" s="27">
        <v>70</v>
      </c>
      <c r="L52" s="24">
        <v>2</v>
      </c>
      <c r="M52" s="24">
        <v>0.059999999999999998</v>
      </c>
      <c r="N52" s="24">
        <f t="shared" si="10"/>
        <v>78.400000000000006</v>
      </c>
      <c r="O52" s="25">
        <f t="shared" si="11"/>
        <v>14.236950079739072</v>
      </c>
      <c r="P52" s="26"/>
      <c r="Q52" s="27">
        <v>-19</v>
      </c>
      <c r="R52" s="28">
        <f t="shared" si="9"/>
        <v>14.5476961152228</v>
      </c>
      <c r="T52" s="28">
        <v>1</v>
      </c>
      <c r="U52" s="30">
        <v>0</v>
      </c>
    </row>
    <row r="53">
      <c r="A53" s="40" t="s">
        <v>58</v>
      </c>
      <c r="B53" s="33">
        <v>8</v>
      </c>
      <c r="C53" s="26">
        <v>1</v>
      </c>
      <c r="D53" s="26">
        <v>3</v>
      </c>
      <c r="E53" s="26">
        <v>2</v>
      </c>
      <c r="F53" s="26">
        <f t="shared" si="6"/>
        <v>5</v>
      </c>
      <c r="G53" s="26"/>
      <c r="H53" s="26">
        <f t="shared" si="7"/>
        <v>26.772281741670998</v>
      </c>
      <c r="I53" s="31">
        <f t="shared" si="8"/>
        <v>1</v>
      </c>
      <c r="K53" s="33">
        <v>140</v>
      </c>
      <c r="L53" s="26">
        <v>2</v>
      </c>
      <c r="M53" s="26">
        <v>0.059999999999999998</v>
      </c>
      <c r="N53" s="26">
        <f t="shared" si="10"/>
        <v>156.80000000000001</v>
      </c>
      <c r="O53" s="31">
        <f t="shared" si="11"/>
        <v>28.473900159478145</v>
      </c>
      <c r="P53" s="26"/>
      <c r="Q53" s="33">
        <v>20</v>
      </c>
      <c r="R53" s="34">
        <f t="shared" si="9"/>
        <v>60.196945520919314</v>
      </c>
      <c r="T53" s="34">
        <v>2</v>
      </c>
      <c r="U53" s="30">
        <v>0</v>
      </c>
    </row>
    <row r="54">
      <c r="A54" s="40" t="s">
        <v>59</v>
      </c>
      <c r="B54" s="36">
        <v>10</v>
      </c>
      <c r="C54" s="35">
        <v>1</v>
      </c>
      <c r="D54" s="35">
        <v>3</v>
      </c>
      <c r="E54" s="35">
        <v>2</v>
      </c>
      <c r="F54" s="35">
        <f t="shared" si="6"/>
        <v>6</v>
      </c>
      <c r="G54" s="35"/>
      <c r="H54" s="35">
        <f t="shared" si="7"/>
        <v>32.126738090005198</v>
      </c>
      <c r="I54" s="37">
        <f t="shared" si="8"/>
        <v>1</v>
      </c>
      <c r="K54" s="36">
        <v>135</v>
      </c>
      <c r="L54" s="35">
        <v>2</v>
      </c>
      <c r="M54" s="35">
        <v>0.059999999999999998</v>
      </c>
      <c r="N54" s="35">
        <f t="shared" si="10"/>
        <v>151.20000000000002</v>
      </c>
      <c r="O54" s="37">
        <f t="shared" si="11"/>
        <v>27.456975153782498</v>
      </c>
      <c r="P54" s="26"/>
      <c r="Q54" s="36">
        <v>22</v>
      </c>
      <c r="R54" s="38">
        <f t="shared" si="9"/>
        <v>65.266970595030159</v>
      </c>
      <c r="T54" s="38">
        <v>3</v>
      </c>
      <c r="U54" s="39">
        <v>3</v>
      </c>
    </row>
    <row r="55">
      <c r="A55" s="40" t="s">
        <v>60</v>
      </c>
      <c r="B55" s="33">
        <v>5</v>
      </c>
      <c r="C55" s="26">
        <v>1</v>
      </c>
      <c r="D55" s="26">
        <v>3</v>
      </c>
      <c r="E55" s="26">
        <v>1.75</v>
      </c>
      <c r="F55" s="26">
        <f t="shared" si="6"/>
        <v>4</v>
      </c>
      <c r="G55" s="26">
        <v>600</v>
      </c>
      <c r="H55" s="26">
        <f t="shared" si="7"/>
        <v>21.417825393336798</v>
      </c>
      <c r="I55" s="31">
        <f t="shared" si="8"/>
        <v>1.0162601626016261</v>
      </c>
      <c r="K55" s="33">
        <v>55</v>
      </c>
      <c r="L55" s="26">
        <v>0</v>
      </c>
      <c r="M55" s="26">
        <v>0.059999999999999998</v>
      </c>
      <c r="N55" s="26">
        <f t="shared" si="10"/>
        <v>55</v>
      </c>
      <c r="O55" s="31">
        <f t="shared" si="11"/>
        <v>9.9876563059393995</v>
      </c>
      <c r="P55" s="46"/>
      <c r="Q55" s="33">
        <v>18</v>
      </c>
      <c r="R55" s="34">
        <f t="shared" si="9"/>
        <v>40.167058292094474</v>
      </c>
      <c r="T55" s="34">
        <v>2</v>
      </c>
      <c r="U55" s="30">
        <v>2</v>
      </c>
    </row>
    <row r="56">
      <c r="A56" s="40" t="s">
        <v>61</v>
      </c>
      <c r="B56" s="33">
        <v>7</v>
      </c>
      <c r="C56" s="26">
        <v>1</v>
      </c>
      <c r="D56" s="26">
        <v>1</v>
      </c>
      <c r="E56" s="26">
        <v>1.6499999999999999</v>
      </c>
      <c r="F56" s="26">
        <f t="shared" si="6"/>
        <v>4.8484848484848486</v>
      </c>
      <c r="G56" s="26">
        <v>580</v>
      </c>
      <c r="H56" s="26">
        <f t="shared" si="7"/>
        <v>25.961000476771879</v>
      </c>
      <c r="I56" s="31">
        <f t="shared" si="8"/>
        <v>1.0191056575804991</v>
      </c>
      <c r="K56" s="33">
        <v>125</v>
      </c>
      <c r="L56" s="26">
        <v>0</v>
      </c>
      <c r="M56" s="26">
        <v>0.059999999999999998</v>
      </c>
      <c r="N56" s="26">
        <f t="shared" si="10"/>
        <v>125</v>
      </c>
      <c r="O56" s="31">
        <f t="shared" si="11"/>
        <v>22.699218877134999</v>
      </c>
      <c r="P56" s="46"/>
      <c r="Q56" s="33">
        <v>62</v>
      </c>
      <c r="R56" s="34">
        <f t="shared" si="9"/>
        <v>90.219564490132441</v>
      </c>
      <c r="T56" s="34">
        <v>4</v>
      </c>
      <c r="U56" s="30">
        <v>4</v>
      </c>
    </row>
    <row r="57">
      <c r="A57" s="40" t="s">
        <v>62</v>
      </c>
      <c r="B57" s="36">
        <v>9</v>
      </c>
      <c r="C57" s="35">
        <v>1</v>
      </c>
      <c r="D57" s="35">
        <v>3</v>
      </c>
      <c r="E57" s="35">
        <v>1.75</v>
      </c>
      <c r="F57" s="35">
        <f t="shared" si="6"/>
        <v>6.2857142857142856</v>
      </c>
      <c r="G57" s="35">
        <v>650</v>
      </c>
      <c r="H57" s="35">
        <f t="shared" si="7"/>
        <v>33.656582760957825</v>
      </c>
      <c r="I57" s="37">
        <f t="shared" si="8"/>
        <v>1.0280007832386922</v>
      </c>
      <c r="K57" s="36">
        <v>75</v>
      </c>
      <c r="L57" s="35">
        <v>0</v>
      </c>
      <c r="M57" s="35">
        <v>0.059999999999999998</v>
      </c>
      <c r="N57" s="35">
        <f t="shared" si="10"/>
        <v>75</v>
      </c>
      <c r="O57" s="37">
        <f t="shared" si="11"/>
        <v>13.619531326281001</v>
      </c>
      <c r="P57" s="46"/>
      <c r="Q57" s="36">
        <v>13</v>
      </c>
      <c r="R57" s="38">
        <f t="shared" si="9"/>
        <v>49.571113993813022</v>
      </c>
      <c r="T57" s="38">
        <v>3</v>
      </c>
      <c r="U57" s="39">
        <v>0</v>
      </c>
    </row>
    <row r="58">
      <c r="A58" s="40" t="s">
        <v>63</v>
      </c>
      <c r="B58" s="33">
        <v>9</v>
      </c>
      <c r="C58" s="26">
        <v>1</v>
      </c>
      <c r="D58" s="26">
        <v>5</v>
      </c>
      <c r="E58" s="26">
        <v>2.0499999999999998</v>
      </c>
      <c r="F58" s="26">
        <f t="shared" si="6"/>
        <v>5.8536585365853666</v>
      </c>
      <c r="G58" s="26"/>
      <c r="H58" s="26">
        <f t="shared" si="7"/>
        <v>31.343159112200198</v>
      </c>
      <c r="I58" s="31">
        <v>1</v>
      </c>
      <c r="K58" s="33">
        <v>250</v>
      </c>
      <c r="L58" s="26">
        <v>3</v>
      </c>
      <c r="M58" s="26">
        <v>0.059999999999999998</v>
      </c>
      <c r="N58" s="26">
        <f t="shared" si="10"/>
        <v>295</v>
      </c>
      <c r="O58" s="31">
        <f t="shared" si="11"/>
        <v>53.570156550038604</v>
      </c>
      <c r="P58" s="46"/>
      <c r="Q58" s="33">
        <v>40</v>
      </c>
      <c r="R58" s="34">
        <f t="shared" si="9"/>
        <v>99.930652529791047</v>
      </c>
      <c r="T58" s="34">
        <v>1</v>
      </c>
      <c r="U58" s="30">
        <v>4</v>
      </c>
    </row>
    <row r="59">
      <c r="A59" s="40" t="s">
        <v>64</v>
      </c>
      <c r="B59" s="33">
        <v>13</v>
      </c>
      <c r="C59" s="26">
        <v>1</v>
      </c>
      <c r="D59" s="26">
        <v>2</v>
      </c>
      <c r="E59" s="26">
        <v>1.8999999999999999</v>
      </c>
      <c r="F59" s="26">
        <f t="shared" si="6"/>
        <v>7.6315789473684212</v>
      </c>
      <c r="G59" s="26"/>
      <c r="H59" s="26">
        <f t="shared" si="7"/>
        <v>40.862956342550468</v>
      </c>
      <c r="I59" s="31">
        <v>1</v>
      </c>
      <c r="K59" s="33">
        <v>360</v>
      </c>
      <c r="L59" s="26">
        <v>4</v>
      </c>
      <c r="M59" s="26">
        <v>0.059999999999999998</v>
      </c>
      <c r="N59" s="26">
        <f t="shared" si="10"/>
        <v>446.39999999999998</v>
      </c>
      <c r="O59" s="31">
        <f t="shared" si="11"/>
        <v>81.063450454024505</v>
      </c>
      <c r="P59" s="2"/>
      <c r="Q59" s="33">
        <v>65</v>
      </c>
      <c r="R59" s="34">
        <f t="shared" si="9"/>
        <v>149.54112543725998</v>
      </c>
      <c r="T59" s="34">
        <v>2</v>
      </c>
      <c r="U59" s="30">
        <v>5</v>
      </c>
    </row>
    <row r="60">
      <c r="A60" s="40" t="s">
        <v>65</v>
      </c>
      <c r="B60" s="36">
        <v>9</v>
      </c>
      <c r="C60" s="35">
        <v>1</v>
      </c>
      <c r="D60" s="35">
        <v>5</v>
      </c>
      <c r="E60" s="35">
        <v>2.0499999999999998</v>
      </c>
      <c r="F60" s="35">
        <f t="shared" si="6"/>
        <v>5.8536585365853666</v>
      </c>
      <c r="G60" s="35"/>
      <c r="H60" s="35">
        <f t="shared" si="7"/>
        <v>31.343159112200198</v>
      </c>
      <c r="I60" s="37">
        <v>1</v>
      </c>
      <c r="K60" s="36">
        <v>270</v>
      </c>
      <c r="L60" s="35">
        <v>3</v>
      </c>
      <c r="M60" s="35">
        <v>0.059999999999999998</v>
      </c>
      <c r="N60" s="35">
        <f t="shared" si="10"/>
        <v>318.59999999999997</v>
      </c>
      <c r="O60" s="37">
        <f t="shared" si="11"/>
        <v>57.855769074041682</v>
      </c>
      <c r="P60" s="46"/>
      <c r="Q60" s="36">
        <v>67</v>
      </c>
      <c r="R60" s="38">
        <f t="shared" si="9"/>
        <v>124.95914254899351</v>
      </c>
      <c r="T60" s="38">
        <v>1</v>
      </c>
      <c r="U60" s="39">
        <v>4</v>
      </c>
    </row>
    <row r="61">
      <c r="A61" s="40" t="s">
        <v>66</v>
      </c>
      <c r="B61" s="27">
        <v>4</v>
      </c>
      <c r="C61" s="24">
        <v>1</v>
      </c>
      <c r="D61" s="24">
        <v>2</v>
      </c>
      <c r="E61" s="24">
        <v>2.2999999999999998</v>
      </c>
      <c r="F61" s="24">
        <f t="shared" si="6"/>
        <v>2.3913043478260874</v>
      </c>
      <c r="G61" s="24">
        <v>400</v>
      </c>
      <c r="H61" s="24">
        <f t="shared" si="7"/>
        <v>12.804134746016567</v>
      </c>
      <c r="I61" s="25">
        <f t="shared" si="8"/>
        <v>1.0064177362893816</v>
      </c>
      <c r="K61" s="27">
        <v>50</v>
      </c>
      <c r="L61" s="24">
        <v>0</v>
      </c>
      <c r="M61" s="24">
        <v>0.059999999999999998</v>
      </c>
      <c r="N61" s="24">
        <f t="shared" si="10"/>
        <v>50</v>
      </c>
      <c r="O61" s="25">
        <f t="shared" si="11"/>
        <v>9.0796875508540005</v>
      </c>
      <c r="P61" s="46"/>
      <c r="Q61" s="27">
        <v>15</v>
      </c>
      <c r="R61" s="34">
        <f t="shared" si="9"/>
        <v>29.696426353373042</v>
      </c>
      <c r="T61" s="34">
        <v>1</v>
      </c>
      <c r="U61" s="30">
        <v>2</v>
      </c>
    </row>
    <row r="62">
      <c r="A62" s="40" t="s">
        <v>67</v>
      </c>
      <c r="B62" s="33">
        <v>6</v>
      </c>
      <c r="C62" s="26">
        <v>1</v>
      </c>
      <c r="D62" s="26">
        <v>3</v>
      </c>
      <c r="E62" s="26">
        <v>1.7</v>
      </c>
      <c r="F62" s="26">
        <f t="shared" si="6"/>
        <v>4.7058823529411766</v>
      </c>
      <c r="G62" s="26">
        <v>450</v>
      </c>
      <c r="H62" s="26">
        <f t="shared" si="7"/>
        <v>25.197441639219765</v>
      </c>
      <c r="I62" s="31">
        <f t="shared" si="8"/>
        <v>1.0143198090692125</v>
      </c>
      <c r="K62" s="33">
        <v>90</v>
      </c>
      <c r="L62" s="26">
        <v>0</v>
      </c>
      <c r="M62" s="26">
        <v>0.059999999999999998</v>
      </c>
      <c r="N62" s="26">
        <f t="shared" si="10"/>
        <v>90</v>
      </c>
      <c r="O62" s="31">
        <f t="shared" si="11"/>
        <v>16.343437591537199</v>
      </c>
      <c r="P62" s="46"/>
      <c r="Q62" s="33">
        <v>32</v>
      </c>
      <c r="R62" s="34">
        <f t="shared" si="9"/>
        <v>59.675176464098733</v>
      </c>
      <c r="T62" s="34">
        <v>2</v>
      </c>
      <c r="U62" s="30">
        <v>3</v>
      </c>
    </row>
    <row r="63">
      <c r="A63" s="40" t="s">
        <v>68</v>
      </c>
      <c r="B63" s="36">
        <v>7</v>
      </c>
      <c r="C63" s="35">
        <v>1</v>
      </c>
      <c r="D63" s="35">
        <v>2</v>
      </c>
      <c r="E63" s="35">
        <v>1.3999999999999999</v>
      </c>
      <c r="F63" s="35">
        <f t="shared" si="6"/>
        <v>6.0714285714285721</v>
      </c>
      <c r="G63" s="35">
        <v>450</v>
      </c>
      <c r="H63" s="35">
        <f t="shared" si="7"/>
        <v>32.509199257743361</v>
      </c>
      <c r="I63" s="37">
        <f t="shared" si="8"/>
        <v>1.018552200800291</v>
      </c>
      <c r="K63" s="36">
        <v>90</v>
      </c>
      <c r="L63" s="35">
        <v>0</v>
      </c>
      <c r="M63" s="35">
        <v>0.059999999999999998</v>
      </c>
      <c r="N63" s="35">
        <f t="shared" si="10"/>
        <v>90</v>
      </c>
      <c r="O63" s="37">
        <f t="shared" si="11"/>
        <v>16.343437591537199</v>
      </c>
      <c r="P63" s="46"/>
      <c r="Q63" s="36">
        <v>37</v>
      </c>
      <c r="R63" s="38">
        <f t="shared" si="9"/>
        <v>69.956313765874299</v>
      </c>
      <c r="T63" s="38">
        <v>3</v>
      </c>
      <c r="U63" s="39">
        <v>3</v>
      </c>
    </row>
    <row r="64">
      <c r="A64" s="40" t="s">
        <v>69</v>
      </c>
      <c r="B64" s="27">
        <v>19</v>
      </c>
      <c r="C64" s="24">
        <v>1</v>
      </c>
      <c r="D64" s="24">
        <v>6</v>
      </c>
      <c r="E64" s="24">
        <v>1.95</v>
      </c>
      <c r="F64" s="24">
        <f t="shared" si="6"/>
        <v>11.538461538461538</v>
      </c>
      <c r="G64" s="24"/>
      <c r="H64" s="24">
        <f t="shared" si="7"/>
        <v>61.782188634625378</v>
      </c>
      <c r="I64" s="25">
        <v>1</v>
      </c>
      <c r="K64" s="27">
        <v>230</v>
      </c>
      <c r="L64" s="24">
        <v>3</v>
      </c>
      <c r="M64" s="24">
        <v>0.059999999999999998</v>
      </c>
      <c r="N64" s="24">
        <f t="shared" si="10"/>
        <v>271.39999999999998</v>
      </c>
      <c r="O64" s="25">
        <f t="shared" si="11"/>
        <v>49.284544026035512</v>
      </c>
      <c r="P64" s="46"/>
      <c r="Q64" s="27">
        <v>14</v>
      </c>
      <c r="R64" s="34">
        <f t="shared" si="9"/>
        <v>100.05338612852871</v>
      </c>
      <c r="T64" s="34">
        <v>3</v>
      </c>
      <c r="U64" s="30">
        <v>4</v>
      </c>
    </row>
    <row r="65">
      <c r="A65" s="40" t="s">
        <v>70</v>
      </c>
      <c r="B65" s="33">
        <v>23</v>
      </c>
      <c r="C65" s="26">
        <v>1</v>
      </c>
      <c r="D65" s="26">
        <v>6</v>
      </c>
      <c r="E65" s="26">
        <v>1.6499999999999999</v>
      </c>
      <c r="F65" s="26">
        <f t="shared" si="6"/>
        <v>16.060606060606062</v>
      </c>
      <c r="G65" s="26"/>
      <c r="H65" s="26">
        <f t="shared" si="7"/>
        <v>85.995814079306854</v>
      </c>
      <c r="I65" s="31">
        <f t="shared" si="8"/>
        <v>1</v>
      </c>
      <c r="K65" s="33">
        <v>270</v>
      </c>
      <c r="L65" s="26">
        <v>3</v>
      </c>
      <c r="M65" s="26">
        <v>0.059999999999999998</v>
      </c>
      <c r="N65" s="26">
        <f t="shared" si="10"/>
        <v>318.59999999999997</v>
      </c>
      <c r="O65" s="31">
        <f t="shared" si="11"/>
        <v>57.855769074041682</v>
      </c>
      <c r="P65" s="46"/>
      <c r="Q65" s="33">
        <v>44</v>
      </c>
      <c r="R65" s="34">
        <f t="shared" si="9"/>
        <v>150.28126652267883</v>
      </c>
      <c r="T65" s="34">
        <v>5</v>
      </c>
      <c r="U65" s="30">
        <v>2</v>
      </c>
    </row>
    <row r="66">
      <c r="A66" s="40" t="s">
        <v>71</v>
      </c>
      <c r="B66" s="36">
        <v>19</v>
      </c>
      <c r="C66" s="35">
        <v>1</v>
      </c>
      <c r="D66" s="35">
        <v>6</v>
      </c>
      <c r="E66" s="35">
        <v>1.8</v>
      </c>
      <c r="F66" s="35">
        <f t="shared" si="6"/>
        <v>12.5</v>
      </c>
      <c r="G66" s="35">
        <v>470</v>
      </c>
      <c r="H66" s="35">
        <f t="shared" si="7"/>
        <v>66.930704354177493</v>
      </c>
      <c r="I66" s="37">
        <f t="shared" si="8"/>
        <v>1.0407632263660018</v>
      </c>
      <c r="K66" s="36">
        <v>200</v>
      </c>
      <c r="L66" s="35">
        <v>3</v>
      </c>
      <c r="M66" s="35">
        <v>0.059999999999999998</v>
      </c>
      <c r="N66" s="35">
        <f t="shared" si="10"/>
        <v>236</v>
      </c>
      <c r="O66" s="37">
        <f t="shared" si="11"/>
        <v>42.856125240030877</v>
      </c>
      <c r="P66" s="46"/>
      <c r="Q66" s="36">
        <v>40</v>
      </c>
      <c r="R66" s="38">
        <f t="shared" si="9"/>
        <v>124.71409922848227</v>
      </c>
      <c r="T66" s="38">
        <v>4</v>
      </c>
      <c r="U66" s="39">
        <v>3</v>
      </c>
    </row>
    <row r="67">
      <c r="A67" s="40" t="s">
        <v>72</v>
      </c>
      <c r="B67" s="33">
        <v>33</v>
      </c>
      <c r="C67" s="26">
        <v>1</v>
      </c>
      <c r="D67" s="26">
        <v>6</v>
      </c>
      <c r="E67" s="26">
        <v>1.8999999999999999</v>
      </c>
      <c r="F67" s="26">
        <f t="shared" si="6"/>
        <v>19.210526315789476</v>
      </c>
      <c r="G67" s="26">
        <v>700</v>
      </c>
      <c r="H67" s="26">
        <f t="shared" si="7"/>
        <v>102.86192458642016</v>
      </c>
      <c r="I67" s="31">
        <f t="shared" si="8"/>
        <v>1.0984775486606282</v>
      </c>
      <c r="K67" s="33">
        <v>190</v>
      </c>
      <c r="L67" s="26">
        <v>2</v>
      </c>
      <c r="M67" s="26">
        <v>0.059999999999999998</v>
      </c>
      <c r="N67" s="26">
        <f t="shared" si="10"/>
        <v>212.80000000000001</v>
      </c>
      <c r="O67" s="31">
        <f t="shared" si="11"/>
        <v>38.643150216434627</v>
      </c>
      <c r="P67" s="46"/>
      <c r="Q67" s="33">
        <v>52</v>
      </c>
      <c r="R67" s="34">
        <f t="shared" si="9"/>
        <v>170.04878417826512</v>
      </c>
      <c r="T67" s="34">
        <v>5</v>
      </c>
      <c r="U67" s="30">
        <v>5</v>
      </c>
    </row>
    <row r="68">
      <c r="A68" s="40" t="s">
        <v>73</v>
      </c>
      <c r="B68" s="33">
        <v>22</v>
      </c>
      <c r="C68" s="26">
        <v>1</v>
      </c>
      <c r="D68" s="26">
        <v>5</v>
      </c>
      <c r="E68" s="26">
        <v>1.8799999999999999</v>
      </c>
      <c r="F68" s="26">
        <f t="shared" si="6"/>
        <v>13.297872340425533</v>
      </c>
      <c r="G68" s="26"/>
      <c r="H68" s="26">
        <f t="shared" si="7"/>
        <v>71.202876972529253</v>
      </c>
      <c r="I68" s="31">
        <f t="shared" si="8"/>
        <v>1</v>
      </c>
      <c r="K68" s="33">
        <v>700</v>
      </c>
      <c r="L68" s="26">
        <v>5</v>
      </c>
      <c r="M68" s="26">
        <v>0.059999999999999998</v>
      </c>
      <c r="N68" s="26">
        <f t="shared" si="10"/>
        <v>910</v>
      </c>
      <c r="O68" s="31">
        <f t="shared" si="11"/>
        <v>165.2503134255428</v>
      </c>
      <c r="P68" s="46"/>
      <c r="Q68" s="33">
        <v>139</v>
      </c>
      <c r="R68" s="34">
        <f t="shared" si="9"/>
        <v>300.36255231845763</v>
      </c>
      <c r="T68" s="34">
        <v>6</v>
      </c>
      <c r="U68" s="30">
        <v>6</v>
      </c>
    </row>
    <row r="69">
      <c r="A69" s="40" t="s">
        <v>74</v>
      </c>
      <c r="B69" s="36">
        <v>24</v>
      </c>
      <c r="C69" s="35">
        <v>1</v>
      </c>
      <c r="D69" s="35">
        <v>5</v>
      </c>
      <c r="E69" s="35">
        <v>1.3500000000000001</v>
      </c>
      <c r="F69" s="35">
        <f t="shared" si="6"/>
        <v>20</v>
      </c>
      <c r="G69" s="35"/>
      <c r="H69" s="35">
        <f t="shared" si="7"/>
        <v>107.08912696668399</v>
      </c>
      <c r="I69" s="37">
        <v>1</v>
      </c>
      <c r="K69" s="36">
        <v>775</v>
      </c>
      <c r="L69" s="35">
        <v>2</v>
      </c>
      <c r="M69" s="35">
        <v>0.059999999999999998</v>
      </c>
      <c r="N69" s="35">
        <f t="shared" si="10"/>
        <v>868.00000000000011</v>
      </c>
      <c r="O69" s="37">
        <f t="shared" si="11"/>
        <v>157.62337588282546</v>
      </c>
      <c r="P69" s="46"/>
      <c r="Q69" s="36">
        <v>185</v>
      </c>
      <c r="R69" s="38">
        <f t="shared" si="9"/>
        <v>359.77000227960758</v>
      </c>
      <c r="T69" s="38">
        <v>7</v>
      </c>
      <c r="U69" s="39">
        <v>2</v>
      </c>
    </row>
    <row r="70">
      <c r="O70" s="26"/>
      <c r="P70" s="46"/>
      <c r="T70" s="43"/>
    </row>
    <row r="71">
      <c r="T71" s="43"/>
    </row>
    <row r="72">
      <c r="T72" s="43"/>
    </row>
    <row r="73">
      <c r="A73" s="2"/>
      <c r="B73" s="3"/>
      <c r="C73" s="4"/>
      <c r="D73" s="4"/>
      <c r="E73" s="4"/>
      <c r="F73" s="4"/>
      <c r="G73" s="4"/>
      <c r="H73" s="4"/>
      <c r="I73" s="5"/>
      <c r="K73" s="44"/>
      <c r="L73" s="44"/>
      <c r="M73" s="44"/>
      <c r="N73" s="44"/>
      <c r="O73" s="44"/>
      <c r="P73" s="2"/>
      <c r="Q73" s="10"/>
      <c r="R73" s="11"/>
      <c r="T73" s="12"/>
      <c r="U73" s="45"/>
    </row>
    <row r="74" ht="16.5">
      <c r="A74" s="14" t="s">
        <v>75</v>
      </c>
      <c r="B74" s="15" t="s">
        <v>1</v>
      </c>
      <c r="C74" s="16" t="s">
        <v>2</v>
      </c>
      <c r="D74" s="16" t="s">
        <v>3</v>
      </c>
      <c r="E74" s="16" t="s">
        <v>4</v>
      </c>
      <c r="F74" s="16" t="s">
        <v>5</v>
      </c>
      <c r="G74" s="16" t="s">
        <v>6</v>
      </c>
      <c r="H74" s="17" t="s">
        <v>7</v>
      </c>
      <c r="I74" s="17" t="s">
        <v>8</v>
      </c>
      <c r="K74" s="16" t="s">
        <v>9</v>
      </c>
      <c r="L74" s="16" t="s">
        <v>10</v>
      </c>
      <c r="M74" s="16" t="s">
        <v>11</v>
      </c>
      <c r="N74" s="16" t="s">
        <v>12</v>
      </c>
      <c r="O74" s="17" t="s">
        <v>13</v>
      </c>
      <c r="P74" s="2"/>
      <c r="Q74" s="17" t="s">
        <v>14</v>
      </c>
      <c r="R74" s="19" t="s">
        <v>15</v>
      </c>
      <c r="T74" s="20" t="s">
        <v>16</v>
      </c>
      <c r="U74" s="20" t="s">
        <v>17</v>
      </c>
    </row>
    <row r="75">
      <c r="A75" s="2"/>
      <c r="B75" s="2"/>
      <c r="C75" s="2"/>
      <c r="D75" s="2"/>
      <c r="E75" s="2"/>
      <c r="F75" s="2"/>
      <c r="G75" s="2"/>
      <c r="H75" s="2"/>
      <c r="I75" s="2"/>
      <c r="K75" s="2"/>
      <c r="L75" s="2"/>
      <c r="M75" s="2"/>
      <c r="N75" s="2"/>
      <c r="O75" s="2"/>
      <c r="P75" s="2"/>
      <c r="Q75" s="2"/>
      <c r="R75" s="21"/>
      <c r="T75" s="26"/>
      <c r="U75" s="22"/>
    </row>
    <row r="76">
      <c r="A76" s="40" t="s">
        <v>76</v>
      </c>
      <c r="B76" s="27">
        <v>9</v>
      </c>
      <c r="C76" s="24">
        <v>1</v>
      </c>
      <c r="D76" s="24">
        <v>3</v>
      </c>
      <c r="E76" s="24">
        <v>1.6200000000000001</v>
      </c>
      <c r="F76" s="24">
        <f t="shared" ref="F74:F93" si="12">(2*B76+C76+D76)/(E76*2)</f>
        <v>6.7901234567901234</v>
      </c>
      <c r="G76" s="24">
        <v>500</v>
      </c>
      <c r="H76" s="24">
        <f t="shared" ref="H74:H93" si="13">F76*5.3544563483342</f>
        <v>36.357419649182837</v>
      </c>
      <c r="I76" s="25">
        <f t="shared" ref="I74:I92" si="14">(500/F76)/((500/F76)-(G76/300))</f>
        <v>1.0231578947368423</v>
      </c>
      <c r="K76" s="27">
        <v>55</v>
      </c>
      <c r="L76" s="24">
        <v>0</v>
      </c>
      <c r="M76" s="24">
        <v>0.059999999999999998</v>
      </c>
      <c r="N76" s="24">
        <f t="shared" si="10"/>
        <v>55</v>
      </c>
      <c r="O76" s="25">
        <f t="shared" si="11"/>
        <v>9.9876563059393995</v>
      </c>
      <c r="P76" s="26"/>
      <c r="Q76" s="27">
        <v>3</v>
      </c>
      <c r="R76" s="28">
        <f t="shared" ref="R74:R93" si="15">($H76+$O76+$Q76)*$I76*0.8</f>
        <v>40.390243223897961</v>
      </c>
      <c r="T76" s="28">
        <v>2</v>
      </c>
      <c r="U76" s="30">
        <v>2</v>
      </c>
    </row>
    <row r="77">
      <c r="A77" s="40" t="s">
        <v>77</v>
      </c>
      <c r="B77" s="33">
        <v>17</v>
      </c>
      <c r="C77" s="26">
        <v>1</v>
      </c>
      <c r="D77" s="26">
        <v>3</v>
      </c>
      <c r="E77" s="26">
        <v>1.5700000000000001</v>
      </c>
      <c r="F77" s="26">
        <f t="shared" si="12"/>
        <v>12.101910828025478</v>
      </c>
      <c r="G77" s="26">
        <v>800</v>
      </c>
      <c r="H77" s="26">
        <f t="shared" si="13"/>
        <v>64.799153260095409</v>
      </c>
      <c r="I77" s="31">
        <f t="shared" si="14"/>
        <v>1.0689968225147526</v>
      </c>
      <c r="K77" s="33">
        <v>75</v>
      </c>
      <c r="L77" s="26">
        <v>0</v>
      </c>
      <c r="M77" s="26">
        <v>0.059999999999999998</v>
      </c>
      <c r="N77" s="26">
        <f t="shared" si="10"/>
        <v>75</v>
      </c>
      <c r="O77" s="31">
        <f t="shared" si="11"/>
        <v>13.619531326281001</v>
      </c>
      <c r="P77" s="26"/>
      <c r="Q77" s="33">
        <v>4</v>
      </c>
      <c r="R77" s="34">
        <f t="shared" si="15"/>
        <v>70.484249550945606</v>
      </c>
      <c r="T77" s="34">
        <v>3</v>
      </c>
      <c r="U77" s="30">
        <v>1</v>
      </c>
    </row>
    <row r="78">
      <c r="A78" s="40" t="s">
        <v>78</v>
      </c>
      <c r="B78" s="33">
        <v>14</v>
      </c>
      <c r="C78" s="26">
        <v>1</v>
      </c>
      <c r="D78" s="26">
        <v>4</v>
      </c>
      <c r="E78" s="26">
        <v>1.6200000000000001</v>
      </c>
      <c r="F78" s="26">
        <f t="shared" si="12"/>
        <v>10.185185185185185</v>
      </c>
      <c r="G78" s="26">
        <v>225</v>
      </c>
      <c r="H78" s="26">
        <f t="shared" si="13"/>
        <v>54.536129473774253</v>
      </c>
      <c r="I78" s="31">
        <f t="shared" si="14"/>
        <v>1.0155148095909732</v>
      </c>
      <c r="K78" s="36">
        <v>220</v>
      </c>
      <c r="L78" s="35">
        <v>1</v>
      </c>
      <c r="M78" s="35">
        <v>0.059999999999999998</v>
      </c>
      <c r="N78" s="35">
        <f t="shared" si="10"/>
        <v>233.20000000000002</v>
      </c>
      <c r="O78" s="37">
        <f t="shared" si="11"/>
        <v>42.347662737183057</v>
      </c>
      <c r="P78" s="26"/>
      <c r="Q78" s="36">
        <v>26</v>
      </c>
      <c r="R78" s="38">
        <f t="shared" si="15"/>
        <v>99.832248679141628</v>
      </c>
      <c r="T78" s="38">
        <v>3</v>
      </c>
      <c r="U78" s="39">
        <v>0</v>
      </c>
    </row>
    <row r="79">
      <c r="A79" s="40" t="s">
        <v>79</v>
      </c>
      <c r="B79" s="27">
        <v>10</v>
      </c>
      <c r="C79" s="24">
        <v>1</v>
      </c>
      <c r="D79" s="24">
        <v>3</v>
      </c>
      <c r="E79" s="24">
        <v>1.8</v>
      </c>
      <c r="F79" s="24">
        <f t="shared" si="12"/>
        <v>6.6666666666666661</v>
      </c>
      <c r="G79" s="24"/>
      <c r="H79" s="24">
        <f t="shared" si="13"/>
        <v>35.696375655561326</v>
      </c>
      <c r="I79" s="25">
        <f t="shared" si="14"/>
        <v>1</v>
      </c>
      <c r="K79" s="33">
        <v>125</v>
      </c>
      <c r="L79" s="26">
        <v>1</v>
      </c>
      <c r="M79" s="26">
        <v>0.059999999999999998</v>
      </c>
      <c r="N79" s="26">
        <f t="shared" si="10"/>
        <v>132.5</v>
      </c>
      <c r="O79" s="31">
        <f t="shared" si="11"/>
        <v>24.061172009763101</v>
      </c>
      <c r="Q79" s="33">
        <v>3</v>
      </c>
      <c r="R79" s="34">
        <f t="shared" si="15"/>
        <v>50.206038132259543</v>
      </c>
      <c r="T79" s="34">
        <v>2</v>
      </c>
      <c r="U79" s="30">
        <v>0</v>
      </c>
    </row>
    <row r="80">
      <c r="A80" s="40" t="s">
        <v>80</v>
      </c>
      <c r="B80" s="33">
        <v>17</v>
      </c>
      <c r="C80" s="26">
        <v>1</v>
      </c>
      <c r="D80" s="26">
        <v>3</v>
      </c>
      <c r="E80" s="26">
        <v>1.7</v>
      </c>
      <c r="F80" s="26">
        <f t="shared" si="12"/>
        <v>11.176470588235295</v>
      </c>
      <c r="G80" s="26"/>
      <c r="H80" s="26">
        <f t="shared" si="13"/>
        <v>59.843923893146943</v>
      </c>
      <c r="I80" s="31">
        <f t="shared" si="14"/>
        <v>1</v>
      </c>
      <c r="K80" s="33">
        <v>230</v>
      </c>
      <c r="L80" s="26">
        <v>3</v>
      </c>
      <c r="M80" s="26">
        <v>0.059999999999999998</v>
      </c>
      <c r="N80" s="26">
        <f t="shared" si="10"/>
        <v>271.39999999999998</v>
      </c>
      <c r="O80" s="31">
        <f t="shared" si="11"/>
        <v>49.284544026035512</v>
      </c>
      <c r="Q80" s="33">
        <v>19</v>
      </c>
      <c r="R80" s="34">
        <f t="shared" si="15"/>
        <v>102.50277433534598</v>
      </c>
      <c r="T80" s="34">
        <v>4</v>
      </c>
      <c r="U80" s="30">
        <v>4</v>
      </c>
    </row>
    <row r="81">
      <c r="A81" s="40" t="s">
        <v>81</v>
      </c>
      <c r="B81" s="36">
        <v>12</v>
      </c>
      <c r="C81" s="35">
        <v>1</v>
      </c>
      <c r="D81" s="35">
        <v>3</v>
      </c>
      <c r="E81" s="35">
        <v>1.7</v>
      </c>
      <c r="F81" s="35">
        <f t="shared" si="12"/>
        <v>8.2352941176470598</v>
      </c>
      <c r="G81" s="35"/>
      <c r="H81" s="35">
        <f t="shared" si="13"/>
        <v>44.095522868634589</v>
      </c>
      <c r="I81" s="37">
        <f t="shared" si="14"/>
        <v>1</v>
      </c>
      <c r="K81" s="36">
        <v>220</v>
      </c>
      <c r="L81" s="35">
        <v>3</v>
      </c>
      <c r="M81" s="35">
        <v>0.059999999999999998</v>
      </c>
      <c r="N81" s="35">
        <f t="shared" si="10"/>
        <v>259.59999999999997</v>
      </c>
      <c r="O81" s="37">
        <f t="shared" si="11"/>
        <v>47.141737764033962</v>
      </c>
      <c r="Q81" s="36">
        <v>36</v>
      </c>
      <c r="R81" s="38">
        <f t="shared" si="15"/>
        <v>101.78980850613485</v>
      </c>
      <c r="T81" s="38">
        <v>4</v>
      </c>
      <c r="U81" s="39">
        <v>4</v>
      </c>
    </row>
    <row r="82">
      <c r="A82" s="40" t="s">
        <v>82</v>
      </c>
      <c r="B82" s="33">
        <v>7</v>
      </c>
      <c r="C82" s="26">
        <v>1</v>
      </c>
      <c r="D82" s="26">
        <v>2</v>
      </c>
      <c r="E82" s="26">
        <v>2.1499999999999999</v>
      </c>
      <c r="F82" s="26">
        <f t="shared" si="12"/>
        <v>3.9534883720930236</v>
      </c>
      <c r="G82" s="26"/>
      <c r="H82" s="26">
        <f t="shared" si="13"/>
        <v>21.168780912018931</v>
      </c>
      <c r="I82" s="31">
        <v>1</v>
      </c>
      <c r="K82" s="33">
        <v>110</v>
      </c>
      <c r="L82" s="26">
        <v>0</v>
      </c>
      <c r="M82" s="26">
        <v>0.059999999999999998</v>
      </c>
      <c r="N82" s="26">
        <f t="shared" si="10"/>
        <v>110</v>
      </c>
      <c r="O82" s="31">
        <f t="shared" si="11"/>
        <v>19.975312611878799</v>
      </c>
      <c r="Q82" s="33">
        <v>15</v>
      </c>
      <c r="R82" s="34">
        <f t="shared" si="15"/>
        <v>44.915274819118189</v>
      </c>
      <c r="T82" s="34">
        <v>2</v>
      </c>
      <c r="U82" s="30">
        <v>0</v>
      </c>
    </row>
    <row r="83">
      <c r="A83" s="40" t="s">
        <v>83</v>
      </c>
      <c r="B83" s="33">
        <v>31</v>
      </c>
      <c r="C83" s="26">
        <v>1</v>
      </c>
      <c r="D83" s="26">
        <v>6</v>
      </c>
      <c r="E83" s="26">
        <v>2.1499999999999999</v>
      </c>
      <c r="F83" s="26">
        <f t="shared" si="12"/>
        <v>16.046511627906977</v>
      </c>
      <c r="G83" s="26"/>
      <c r="H83" s="26">
        <f t="shared" si="13"/>
        <v>85.92034605466506</v>
      </c>
      <c r="I83" s="31">
        <v>1</v>
      </c>
      <c r="K83" s="33">
        <v>250</v>
      </c>
      <c r="L83" s="26">
        <v>3</v>
      </c>
      <c r="M83" s="26">
        <v>0.059999999999999998</v>
      </c>
      <c r="N83" s="26">
        <f t="shared" si="10"/>
        <v>295</v>
      </c>
      <c r="O83" s="31">
        <f t="shared" si="11"/>
        <v>53.570156550038604</v>
      </c>
      <c r="P83" s="2"/>
      <c r="Q83" s="33">
        <v>17</v>
      </c>
      <c r="R83" s="34">
        <f t="shared" si="15"/>
        <v>125.19240208376294</v>
      </c>
      <c r="T83" s="34">
        <v>4</v>
      </c>
      <c r="U83" s="30">
        <v>5</v>
      </c>
    </row>
    <row r="84">
      <c r="A84" s="40" t="s">
        <v>84</v>
      </c>
      <c r="B84" s="33">
        <v>15</v>
      </c>
      <c r="C84" s="26">
        <v>1</v>
      </c>
      <c r="D84" s="26">
        <v>4</v>
      </c>
      <c r="E84" s="26">
        <v>1.95</v>
      </c>
      <c r="F84" s="26">
        <f t="shared" si="12"/>
        <v>8.9743589743589745</v>
      </c>
      <c r="G84" s="26"/>
      <c r="H84" s="26">
        <f t="shared" si="13"/>
        <v>48.052813382486406</v>
      </c>
      <c r="I84" s="31">
        <v>1</v>
      </c>
      <c r="K84" s="36">
        <v>225</v>
      </c>
      <c r="L84" s="35">
        <v>4</v>
      </c>
      <c r="M84" s="35">
        <v>0.059999999999999998</v>
      </c>
      <c r="N84" s="35">
        <f t="shared" si="10"/>
        <v>279</v>
      </c>
      <c r="O84" s="37">
        <f t="shared" si="11"/>
        <v>50.664656533765317</v>
      </c>
      <c r="Q84" s="36">
        <v>33</v>
      </c>
      <c r="R84" s="38">
        <f t="shared" si="15"/>
        <v>105.37397593300139</v>
      </c>
      <c r="T84" s="38">
        <v>3</v>
      </c>
      <c r="U84" s="39">
        <v>0</v>
      </c>
    </row>
    <row r="85">
      <c r="A85" s="40" t="s">
        <v>85</v>
      </c>
      <c r="B85" s="27">
        <v>8</v>
      </c>
      <c r="C85" s="24">
        <v>1</v>
      </c>
      <c r="D85" s="24">
        <v>2</v>
      </c>
      <c r="E85" s="24">
        <v>1.78</v>
      </c>
      <c r="F85" s="24">
        <f t="shared" si="12"/>
        <v>5.3370786516853927</v>
      </c>
      <c r="G85" s="24">
        <v>630</v>
      </c>
      <c r="H85" s="24">
        <f t="shared" si="13"/>
        <v>28.577154668075782</v>
      </c>
      <c r="I85" s="25">
        <f t="shared" si="14"/>
        <v>1.0229297166829492</v>
      </c>
      <c r="K85" s="33">
        <v>80</v>
      </c>
      <c r="L85" s="26">
        <v>0</v>
      </c>
      <c r="M85" s="26">
        <v>0.059999999999999998</v>
      </c>
      <c r="N85" s="26">
        <f t="shared" si="10"/>
        <v>80</v>
      </c>
      <c r="O85" s="31">
        <f t="shared" si="11"/>
        <v>14.5275000813664</v>
      </c>
      <c r="Q85" s="33">
        <v>30</v>
      </c>
      <c r="R85" s="34">
        <f t="shared" si="15"/>
        <v>59.824739016841363</v>
      </c>
      <c r="T85" s="34">
        <v>1</v>
      </c>
      <c r="U85" s="30">
        <v>3</v>
      </c>
    </row>
    <row r="86">
      <c r="A86" s="40" t="s">
        <v>86</v>
      </c>
      <c r="B86" s="33">
        <v>13</v>
      </c>
      <c r="C86" s="26">
        <v>1</v>
      </c>
      <c r="D86" s="26">
        <v>3</v>
      </c>
      <c r="E86" s="26">
        <v>1.75</v>
      </c>
      <c r="F86" s="26">
        <f t="shared" si="12"/>
        <v>8.5714285714285712</v>
      </c>
      <c r="G86" s="26">
        <v>700</v>
      </c>
      <c r="H86" s="26">
        <f t="shared" si="13"/>
        <v>45.895340128578852</v>
      </c>
      <c r="I86" s="31">
        <f t="shared" si="14"/>
        <v>1.0416666666666667</v>
      </c>
      <c r="K86" s="33">
        <v>120</v>
      </c>
      <c r="L86" s="26">
        <v>0</v>
      </c>
      <c r="M86" s="26">
        <v>0.059999999999999998</v>
      </c>
      <c r="N86" s="26">
        <f t="shared" si="10"/>
        <v>120</v>
      </c>
      <c r="O86" s="31">
        <f t="shared" si="11"/>
        <v>21.7912501220496</v>
      </c>
      <c r="Q86" s="33">
        <v>40</v>
      </c>
      <c r="R86" s="34">
        <f t="shared" si="15"/>
        <v>89.738825208857065</v>
      </c>
      <c r="T86" s="34">
        <v>2</v>
      </c>
      <c r="U86" s="30">
        <v>3</v>
      </c>
    </row>
    <row r="87">
      <c r="A87" s="40" t="s">
        <v>87</v>
      </c>
      <c r="B87" s="36">
        <v>13</v>
      </c>
      <c r="C87" s="35">
        <v>1</v>
      </c>
      <c r="D87" s="35">
        <v>3</v>
      </c>
      <c r="E87" s="35">
        <v>1.6000000000000001</v>
      </c>
      <c r="F87" s="35">
        <f t="shared" si="12"/>
        <v>9.375</v>
      </c>
      <c r="G87" s="35">
        <v>630</v>
      </c>
      <c r="H87" s="35">
        <f t="shared" si="13"/>
        <v>50.19802826563312</v>
      </c>
      <c r="I87" s="37">
        <f t="shared" si="14"/>
        <v>1.040988939492518</v>
      </c>
      <c r="K87" s="36">
        <v>130</v>
      </c>
      <c r="L87" s="35">
        <v>0</v>
      </c>
      <c r="M87" s="35">
        <v>0.059999999999999998</v>
      </c>
      <c r="N87" s="35">
        <f t="shared" si="10"/>
        <v>130</v>
      </c>
      <c r="O87" s="37">
        <f t="shared" si="11"/>
        <v>23.607187632220402</v>
      </c>
      <c r="Q87" s="36">
        <v>22</v>
      </c>
      <c r="R87" s="38">
        <f t="shared" si="15"/>
        <v>79.785736076286611</v>
      </c>
      <c r="T87" s="38">
        <v>4</v>
      </c>
      <c r="U87" s="39">
        <v>4</v>
      </c>
    </row>
    <row r="88">
      <c r="A88" s="40" t="s">
        <v>88</v>
      </c>
      <c r="B88" s="33">
        <v>15</v>
      </c>
      <c r="C88" s="26">
        <v>1</v>
      </c>
      <c r="D88" s="26">
        <v>7</v>
      </c>
      <c r="E88" s="26">
        <v>1.8999999999999999</v>
      </c>
      <c r="F88" s="26">
        <f t="shared" si="12"/>
        <v>10</v>
      </c>
      <c r="G88" s="24">
        <v>515</v>
      </c>
      <c r="H88" s="26">
        <f t="shared" si="13"/>
        <v>53.544563483341996</v>
      </c>
      <c r="I88" s="25">
        <f t="shared" si="14"/>
        <v>1.0355540214014498</v>
      </c>
      <c r="K88" s="33">
        <v>200</v>
      </c>
      <c r="L88" s="26">
        <v>3</v>
      </c>
      <c r="M88" s="26">
        <v>0.059999999999999998</v>
      </c>
      <c r="N88" s="26">
        <f t="shared" si="10"/>
        <v>236</v>
      </c>
      <c r="O88" s="31">
        <f t="shared" si="11"/>
        <v>42.856125240030877</v>
      </c>
      <c r="Q88" s="33">
        <v>18</v>
      </c>
      <c r="R88" s="34">
        <f t="shared" si="15"/>
        <v>94.774474606867415</v>
      </c>
      <c r="T88" s="34">
        <v>3</v>
      </c>
      <c r="U88" s="30">
        <v>4</v>
      </c>
    </row>
    <row r="89">
      <c r="A89" s="40" t="s">
        <v>89</v>
      </c>
      <c r="B89" s="33">
        <v>21</v>
      </c>
      <c r="C89" s="26">
        <v>1</v>
      </c>
      <c r="D89" s="26">
        <v>3</v>
      </c>
      <c r="E89" s="26">
        <v>1.8999999999999999</v>
      </c>
      <c r="F89" s="26">
        <f t="shared" si="12"/>
        <v>12.105263157894738</v>
      </c>
      <c r="G89" s="26"/>
      <c r="H89" s="26">
        <f t="shared" si="13"/>
        <v>64.817103164045577</v>
      </c>
      <c r="I89" s="31">
        <f t="shared" si="14"/>
        <v>1</v>
      </c>
      <c r="K89" s="33">
        <v>400</v>
      </c>
      <c r="L89" s="26">
        <v>4</v>
      </c>
      <c r="M89" s="26">
        <v>0.059999999999999998</v>
      </c>
      <c r="N89" s="26">
        <f t="shared" si="10"/>
        <v>496</v>
      </c>
      <c r="O89" s="31">
        <f t="shared" si="11"/>
        <v>90.070500504471681</v>
      </c>
      <c r="Q89" s="33">
        <v>51</v>
      </c>
      <c r="R89" s="34">
        <f t="shared" si="15"/>
        <v>164.71008293481384</v>
      </c>
      <c r="T89" s="34">
        <v>3</v>
      </c>
      <c r="U89" s="30">
        <v>5</v>
      </c>
    </row>
    <row r="90">
      <c r="A90" s="40" t="s">
        <v>90</v>
      </c>
      <c r="B90" s="36">
        <v>25</v>
      </c>
      <c r="C90" s="35">
        <v>1</v>
      </c>
      <c r="D90" s="35">
        <v>3</v>
      </c>
      <c r="E90" s="35">
        <v>1.6100000000000001</v>
      </c>
      <c r="F90" s="35">
        <f t="shared" si="12"/>
        <v>16.770186335403725</v>
      </c>
      <c r="G90" s="35">
        <v>600</v>
      </c>
      <c r="H90" s="35">
        <f t="shared" si="13"/>
        <v>89.795230686349925</v>
      </c>
      <c r="I90" s="37">
        <f t="shared" si="14"/>
        <v>1.0719041278295607</v>
      </c>
      <c r="K90" s="36">
        <v>250</v>
      </c>
      <c r="L90" s="35">
        <v>3</v>
      </c>
      <c r="M90" s="35">
        <v>0.059999999999999998</v>
      </c>
      <c r="N90" s="35">
        <f t="shared" si="10"/>
        <v>295</v>
      </c>
      <c r="O90" s="37">
        <f t="shared" si="11"/>
        <v>53.570156550038604</v>
      </c>
      <c r="Q90" s="36">
        <v>166</v>
      </c>
      <c r="R90" s="38">
        <f t="shared" si="15"/>
        <v>265.28802846902028</v>
      </c>
      <c r="T90" s="38">
        <v>5</v>
      </c>
      <c r="U90" s="39">
        <v>6</v>
      </c>
    </row>
    <row r="91">
      <c r="A91" s="40" t="s">
        <v>91</v>
      </c>
      <c r="B91" s="33">
        <v>27</v>
      </c>
      <c r="C91" s="26">
        <v>1</v>
      </c>
      <c r="D91" s="26">
        <v>4</v>
      </c>
      <c r="E91" s="26">
        <v>2.8500000000000001</v>
      </c>
      <c r="F91" s="26">
        <f t="shared" si="12"/>
        <v>10.350877192982455</v>
      </c>
      <c r="G91" s="26"/>
      <c r="H91" s="26">
        <f t="shared" si="13"/>
        <v>55.423320096792587</v>
      </c>
      <c r="I91" s="31">
        <v>1</v>
      </c>
      <c r="K91" s="33">
        <v>250</v>
      </c>
      <c r="L91" s="26">
        <v>3</v>
      </c>
      <c r="M91" s="26">
        <v>0.059999999999999998</v>
      </c>
      <c r="N91" s="26">
        <f t="shared" si="10"/>
        <v>295</v>
      </c>
      <c r="O91" s="31">
        <f t="shared" si="11"/>
        <v>53.570156550038604</v>
      </c>
      <c r="Q91" s="33">
        <v>41</v>
      </c>
      <c r="R91" s="34">
        <f t="shared" si="15"/>
        <v>119.99478131746497</v>
      </c>
      <c r="T91" s="34">
        <v>3</v>
      </c>
      <c r="U91" s="30">
        <v>0</v>
      </c>
    </row>
    <row r="92">
      <c r="A92" s="40" t="s">
        <v>92</v>
      </c>
      <c r="B92" s="33">
        <v>37</v>
      </c>
      <c r="C92" s="26">
        <v>1</v>
      </c>
      <c r="D92" s="26">
        <v>5</v>
      </c>
      <c r="E92" s="26">
        <v>2.5499999999999998</v>
      </c>
      <c r="F92" s="26">
        <f t="shared" si="12"/>
        <v>15.686274509803923</v>
      </c>
      <c r="G92" s="26"/>
      <c r="H92" s="26">
        <f t="shared" si="13"/>
        <v>83.991472130732546</v>
      </c>
      <c r="I92" s="31">
        <f t="shared" si="14"/>
        <v>1</v>
      </c>
      <c r="K92" s="33">
        <v>650</v>
      </c>
      <c r="L92" s="26">
        <v>3</v>
      </c>
      <c r="M92" s="26">
        <v>0.059999999999999998</v>
      </c>
      <c r="N92" s="26">
        <f t="shared" ref="N92:N93" si="16">K92*(L92*M92+1)</f>
        <v>767</v>
      </c>
      <c r="O92" s="31">
        <f t="shared" ref="O92:O93" si="17">N92*0.18159375101708</f>
        <v>139.28240703010036</v>
      </c>
      <c r="Q92" s="33">
        <v>70</v>
      </c>
      <c r="R92" s="34">
        <f t="shared" si="15"/>
        <v>234.61910332866634</v>
      </c>
      <c r="T92" s="34">
        <v>5</v>
      </c>
      <c r="U92" s="30">
        <v>5</v>
      </c>
    </row>
    <row r="93">
      <c r="A93" s="40" t="s">
        <v>93</v>
      </c>
      <c r="B93" s="36">
        <v>18</v>
      </c>
      <c r="C93" s="35">
        <v>1</v>
      </c>
      <c r="D93" s="35">
        <v>4</v>
      </c>
      <c r="E93" s="35">
        <v>2.6499999999999999</v>
      </c>
      <c r="F93" s="35">
        <f t="shared" si="12"/>
        <v>7.7358490566037741</v>
      </c>
      <c r="G93" s="35"/>
      <c r="H93" s="35">
        <f t="shared" si="13"/>
        <v>41.421266090887208</v>
      </c>
      <c r="I93" s="37">
        <v>1</v>
      </c>
      <c r="K93" s="36">
        <v>590</v>
      </c>
      <c r="L93" s="35">
        <v>3</v>
      </c>
      <c r="M93" s="35">
        <v>0.059999999999999998</v>
      </c>
      <c r="N93" s="35">
        <f t="shared" si="16"/>
        <v>696.19999999999993</v>
      </c>
      <c r="O93" s="37">
        <f t="shared" si="17"/>
        <v>126.42556945809109</v>
      </c>
      <c r="Q93" s="36">
        <v>120</v>
      </c>
      <c r="R93" s="38">
        <f t="shared" si="15"/>
        <v>230.27746843918268</v>
      </c>
      <c r="T93" s="38">
        <v>3</v>
      </c>
      <c r="U93" s="39">
        <v>0</v>
      </c>
    </row>
    <row r="94">
      <c r="T94" s="43"/>
    </row>
    <row r="95">
      <c r="F95" s="50"/>
      <c r="G95" s="50"/>
      <c r="T95" s="43"/>
    </row>
    <row r="96">
      <c r="F96" s="50"/>
      <c r="G96" s="50"/>
      <c r="T96" s="43"/>
    </row>
    <row r="97">
      <c r="A97" s="2"/>
      <c r="B97" s="3"/>
      <c r="C97" s="4"/>
      <c r="D97" s="4"/>
      <c r="E97" s="4"/>
      <c r="F97" s="4"/>
      <c r="G97" s="4"/>
      <c r="H97" s="4"/>
      <c r="I97" s="5"/>
      <c r="K97" s="44"/>
      <c r="L97" s="44"/>
      <c r="M97" s="44"/>
      <c r="N97" s="44"/>
      <c r="O97" s="44"/>
      <c r="P97" s="2"/>
      <c r="Q97" s="10"/>
      <c r="R97" s="11"/>
      <c r="T97" s="12"/>
      <c r="U97" s="45"/>
    </row>
    <row r="98" ht="16.5">
      <c r="A98" s="14" t="s">
        <v>94</v>
      </c>
      <c r="B98" s="15" t="s">
        <v>1</v>
      </c>
      <c r="C98" s="16" t="s">
        <v>2</v>
      </c>
      <c r="D98" s="16" t="s">
        <v>3</v>
      </c>
      <c r="E98" s="16" t="s">
        <v>4</v>
      </c>
      <c r="F98" s="16" t="s">
        <v>5</v>
      </c>
      <c r="G98" s="16" t="s">
        <v>6</v>
      </c>
      <c r="H98" s="17" t="s">
        <v>7</v>
      </c>
      <c r="I98" s="17" t="s">
        <v>8</v>
      </c>
      <c r="K98" s="16" t="s">
        <v>9</v>
      </c>
      <c r="L98" s="16" t="s">
        <v>10</v>
      </c>
      <c r="M98" s="16" t="s">
        <v>11</v>
      </c>
      <c r="N98" s="16" t="s">
        <v>12</v>
      </c>
      <c r="O98" s="17" t="s">
        <v>13</v>
      </c>
      <c r="P98" s="2"/>
      <c r="Q98" s="17" t="s">
        <v>14</v>
      </c>
      <c r="R98" s="19" t="s">
        <v>15</v>
      </c>
      <c r="T98" s="20" t="s">
        <v>16</v>
      </c>
      <c r="U98" s="20" t="s">
        <v>17</v>
      </c>
    </row>
    <row r="99">
      <c r="A99" s="2"/>
      <c r="B99" s="2"/>
      <c r="C99" s="2"/>
      <c r="D99" s="2"/>
      <c r="E99" s="2"/>
      <c r="F99" s="2"/>
      <c r="G99" s="2"/>
      <c r="H99" s="2"/>
      <c r="I99" s="2"/>
      <c r="K99" s="2"/>
      <c r="L99" s="2"/>
      <c r="M99" s="2"/>
      <c r="N99" s="2"/>
      <c r="O99" s="2"/>
      <c r="P99" s="2"/>
      <c r="Q99" s="2"/>
      <c r="R99" s="21"/>
      <c r="T99" s="26"/>
      <c r="U99" s="22"/>
    </row>
    <row r="100">
      <c r="A100" s="40" t="s">
        <v>95</v>
      </c>
      <c r="B100" s="27">
        <v>10</v>
      </c>
      <c r="C100" s="24">
        <v>1</v>
      </c>
      <c r="D100" s="24">
        <v>2</v>
      </c>
      <c r="E100" s="24">
        <v>1.77</v>
      </c>
      <c r="F100" s="24">
        <f t="shared" ref="F100:F163" si="18">(2*B100+C100+D100)/(E100*2)</f>
        <v>6.4971751412429377</v>
      </c>
      <c r="G100" s="24"/>
      <c r="H100" s="24">
        <f t="shared" ref="H100:H163" si="19">F100*5.3544563483342</f>
        <v>34.788840681267395</v>
      </c>
      <c r="I100" s="25">
        <f t="shared" ref="I100:I163" si="20">(500/F100)/((500/F100)-(G100/300))</f>
        <v>1</v>
      </c>
      <c r="K100" s="27">
        <v>140</v>
      </c>
      <c r="L100" s="24">
        <v>1</v>
      </c>
      <c r="M100" s="24">
        <v>0.059999999999999998</v>
      </c>
      <c r="N100" s="24">
        <f t="shared" ref="N100:N163" si="21">K100*(L100*M100+1)</f>
        <v>148.40000000000001</v>
      </c>
      <c r="O100" s="25">
        <f t="shared" ref="O100:O163" si="22">N100*0.18159375101708</f>
        <v>26.948512650934674</v>
      </c>
      <c r="P100" s="26"/>
      <c r="Q100" s="27">
        <v>1</v>
      </c>
      <c r="R100" s="28">
        <f t="shared" ref="R100:R141" si="23">($H100+$O100+$Q100)*$I100*0.8</f>
        <v>50.189882665761658</v>
      </c>
      <c r="T100" s="28">
        <v>2</v>
      </c>
      <c r="U100" s="30">
        <v>0</v>
      </c>
    </row>
    <row r="101">
      <c r="A101" s="40" t="s">
        <v>96</v>
      </c>
      <c r="B101" s="33">
        <v>12</v>
      </c>
      <c r="C101" s="26">
        <v>1</v>
      </c>
      <c r="D101" s="26">
        <v>3</v>
      </c>
      <c r="E101" s="26">
        <v>1.77</v>
      </c>
      <c r="F101" s="26">
        <f t="shared" si="18"/>
        <v>7.9096045197740112</v>
      </c>
      <c r="G101" s="26">
        <v>340</v>
      </c>
      <c r="H101" s="26">
        <f t="shared" si="19"/>
        <v>42.351632133716834</v>
      </c>
      <c r="I101" s="31">
        <f t="shared" si="20"/>
        <v>1.0182557336810616</v>
      </c>
      <c r="K101" s="33">
        <v>140</v>
      </c>
      <c r="L101" s="26">
        <v>2</v>
      </c>
      <c r="M101" s="26">
        <v>0.059999999999999998</v>
      </c>
      <c r="N101" s="26">
        <f t="shared" si="21"/>
        <v>156.80000000000001</v>
      </c>
      <c r="O101" s="31">
        <f t="shared" si="22"/>
        <v>28.473900159478145</v>
      </c>
      <c r="P101" s="26"/>
      <c r="Q101" s="33">
        <v>15</v>
      </c>
      <c r="R101" s="34">
        <f t="shared" si="23"/>
        <v>69.913872283019927</v>
      </c>
      <c r="T101" s="34">
        <v>2</v>
      </c>
      <c r="U101" s="30">
        <v>3</v>
      </c>
    </row>
    <row r="102">
      <c r="A102" s="40" t="s">
        <v>97</v>
      </c>
      <c r="B102" s="33">
        <v>19</v>
      </c>
      <c r="C102" s="26">
        <v>1</v>
      </c>
      <c r="D102" s="26">
        <v>4</v>
      </c>
      <c r="E102" s="26">
        <v>1.73</v>
      </c>
      <c r="F102" s="26">
        <f t="shared" si="18"/>
        <v>12.427745664739884</v>
      </c>
      <c r="G102" s="26"/>
      <c r="H102" s="26">
        <f t="shared" si="19"/>
        <v>66.543821670049297</v>
      </c>
      <c r="I102" s="31">
        <f t="shared" si="20"/>
        <v>1</v>
      </c>
      <c r="K102" s="36">
        <v>220</v>
      </c>
      <c r="L102" s="35">
        <v>2</v>
      </c>
      <c r="M102" s="35">
        <v>0.059999999999999998</v>
      </c>
      <c r="N102" s="35">
        <f t="shared" si="21"/>
        <v>246.40000000000003</v>
      </c>
      <c r="O102" s="37">
        <f t="shared" si="22"/>
        <v>44.744700250608517</v>
      </c>
      <c r="P102" s="26"/>
      <c r="Q102" s="36">
        <v>14</v>
      </c>
      <c r="R102" s="38">
        <f t="shared" si="23"/>
        <v>100.23081753652626</v>
      </c>
      <c r="T102" s="38">
        <v>3</v>
      </c>
      <c r="U102" s="39">
        <v>3</v>
      </c>
    </row>
    <row r="103">
      <c r="A103" s="40" t="s">
        <v>98</v>
      </c>
      <c r="B103" s="27">
        <v>11</v>
      </c>
      <c r="C103" s="24">
        <v>1</v>
      </c>
      <c r="D103" s="24">
        <v>3</v>
      </c>
      <c r="E103" s="24">
        <v>1.8200000000000001</v>
      </c>
      <c r="F103" s="24">
        <f t="shared" si="18"/>
        <v>7.1428571428571423</v>
      </c>
      <c r="G103" s="24">
        <v>550</v>
      </c>
      <c r="H103" s="24">
        <f t="shared" si="19"/>
        <v>38.246116773815707</v>
      </c>
      <c r="I103" s="25">
        <f t="shared" si="20"/>
        <v>1.0268948655256722</v>
      </c>
      <c r="K103" s="33">
        <v>125</v>
      </c>
      <c r="L103" s="26">
        <v>2</v>
      </c>
      <c r="M103" s="26">
        <v>0.059999999999999998</v>
      </c>
      <c r="N103" s="26">
        <f t="shared" si="21"/>
        <v>140</v>
      </c>
      <c r="O103" s="31">
        <f t="shared" si="22"/>
        <v>25.4231251423912</v>
      </c>
      <c r="Q103" s="33">
        <v>21</v>
      </c>
      <c r="R103" s="34">
        <f t="shared" si="23"/>
        <v>69.55712783336314</v>
      </c>
      <c r="T103" s="34">
        <v>3</v>
      </c>
      <c r="U103" s="30">
        <v>3</v>
      </c>
    </row>
    <row r="104">
      <c r="A104" s="40" t="s">
        <v>99</v>
      </c>
      <c r="B104" s="33">
        <v>16</v>
      </c>
      <c r="C104" s="26">
        <v>1</v>
      </c>
      <c r="D104" s="26">
        <v>3</v>
      </c>
      <c r="E104" s="26">
        <v>1.45</v>
      </c>
      <c r="F104" s="26">
        <f t="shared" si="18"/>
        <v>12.413793103448276</v>
      </c>
      <c r="G104" s="26">
        <v>420</v>
      </c>
      <c r="H104" s="26">
        <f t="shared" si="19"/>
        <v>66.469113289665927</v>
      </c>
      <c r="I104" s="31">
        <f t="shared" si="20"/>
        <v>1.0360102886539011</v>
      </c>
      <c r="K104" s="33">
        <v>210</v>
      </c>
      <c r="L104" s="26">
        <v>2</v>
      </c>
      <c r="M104" s="26">
        <v>0.059999999999999998</v>
      </c>
      <c r="N104" s="26">
        <f t="shared" si="21"/>
        <v>235.20000000000002</v>
      </c>
      <c r="O104" s="31">
        <f t="shared" si="22"/>
        <v>42.710850239217223</v>
      </c>
      <c r="Q104" s="33">
        <v>156</v>
      </c>
      <c r="R104" s="34">
        <f t="shared" si="23"/>
        <v>219.78333644863139</v>
      </c>
      <c r="T104" s="34">
        <v>3</v>
      </c>
      <c r="U104" s="30">
        <v>6</v>
      </c>
    </row>
    <row r="105">
      <c r="A105" s="40" t="s">
        <v>100</v>
      </c>
      <c r="B105" s="36">
        <v>20</v>
      </c>
      <c r="C105" s="35">
        <v>1</v>
      </c>
      <c r="D105" s="35">
        <v>3</v>
      </c>
      <c r="E105" s="35">
        <v>2</v>
      </c>
      <c r="F105" s="35">
        <f t="shared" si="18"/>
        <v>11</v>
      </c>
      <c r="G105" s="35">
        <v>550</v>
      </c>
      <c r="H105" s="35">
        <f t="shared" si="19"/>
        <v>58.899019831676199</v>
      </c>
      <c r="I105" s="37">
        <f t="shared" si="20"/>
        <v>1.0420284821118444</v>
      </c>
      <c r="K105" s="36">
        <v>125</v>
      </c>
      <c r="L105" s="35">
        <v>2</v>
      </c>
      <c r="M105" s="35">
        <v>0.059999999999999998</v>
      </c>
      <c r="N105" s="35">
        <f t="shared" si="21"/>
        <v>140</v>
      </c>
      <c r="O105" s="37">
        <f t="shared" si="22"/>
        <v>25.4231251423912</v>
      </c>
      <c r="Q105" s="36">
        <v>36</v>
      </c>
      <c r="R105" s="38">
        <f t="shared" si="23"/>
        <v>100.303281673415</v>
      </c>
      <c r="T105" s="38">
        <v>4</v>
      </c>
      <c r="U105" s="39">
        <v>0</v>
      </c>
    </row>
    <row r="106">
      <c r="A106" s="40" t="s">
        <v>101</v>
      </c>
      <c r="B106" s="33">
        <v>9</v>
      </c>
      <c r="C106" s="26">
        <v>1</v>
      </c>
      <c r="D106" s="26">
        <v>2</v>
      </c>
      <c r="E106" s="26">
        <v>1.8200000000000001</v>
      </c>
      <c r="F106" s="26">
        <f t="shared" si="18"/>
        <v>5.7692307692307692</v>
      </c>
      <c r="G106" s="26">
        <v>380</v>
      </c>
      <c r="H106" s="26">
        <f t="shared" si="19"/>
        <v>30.891094317312689</v>
      </c>
      <c r="I106" s="31">
        <v>1</v>
      </c>
      <c r="J106" s="46"/>
      <c r="K106" s="33">
        <v>135</v>
      </c>
      <c r="L106" s="26">
        <v>1</v>
      </c>
      <c r="M106" s="26">
        <v>0.059999999999999998</v>
      </c>
      <c r="N106" s="26">
        <f t="shared" si="21"/>
        <v>143.09999999999999</v>
      </c>
      <c r="O106" s="31">
        <f t="shared" si="22"/>
        <v>25.986065770544148</v>
      </c>
      <c r="Q106" s="33">
        <v>43</v>
      </c>
      <c r="R106" s="34">
        <f t="shared" si="23"/>
        <v>79.901728070285472</v>
      </c>
      <c r="T106" s="34">
        <v>2</v>
      </c>
      <c r="U106" s="30">
        <v>4</v>
      </c>
      <c r="V106" s="46"/>
    </row>
    <row r="107">
      <c r="A107" s="40" t="s">
        <v>102</v>
      </c>
      <c r="B107" s="33">
        <v>29</v>
      </c>
      <c r="C107" s="26">
        <v>1</v>
      </c>
      <c r="D107" s="26">
        <v>1</v>
      </c>
      <c r="E107" s="26">
        <v>2.3999999999999999</v>
      </c>
      <c r="F107" s="26">
        <f t="shared" si="18"/>
        <v>12.5</v>
      </c>
      <c r="G107" s="26">
        <v>350</v>
      </c>
      <c r="H107" s="26">
        <f t="shared" si="19"/>
        <v>66.930704354177493</v>
      </c>
      <c r="I107" s="31">
        <f t="shared" si="20"/>
        <v>1.0300429184549356</v>
      </c>
      <c r="J107" s="2"/>
      <c r="K107" s="33">
        <v>235</v>
      </c>
      <c r="L107" s="26">
        <v>3</v>
      </c>
      <c r="M107" s="26">
        <v>0.059999999999999998</v>
      </c>
      <c r="N107" s="26">
        <f t="shared" si="21"/>
        <v>277.30000000000001</v>
      </c>
      <c r="O107" s="31">
        <f t="shared" si="22"/>
        <v>50.355947157036283</v>
      </c>
      <c r="P107" s="2"/>
      <c r="Q107" s="33">
        <v>35</v>
      </c>
      <c r="R107" s="34">
        <f t="shared" si="23"/>
        <v>125.48942957147231</v>
      </c>
      <c r="T107" s="34">
        <v>4</v>
      </c>
      <c r="U107" s="30">
        <v>4</v>
      </c>
      <c r="V107" s="46"/>
    </row>
    <row r="108">
      <c r="A108" s="40" t="s">
        <v>103</v>
      </c>
      <c r="B108" s="33">
        <v>13</v>
      </c>
      <c r="C108" s="26">
        <v>1</v>
      </c>
      <c r="D108" s="26">
        <v>3</v>
      </c>
      <c r="E108" s="35">
        <v>1.8200000000000001</v>
      </c>
      <c r="F108" s="26">
        <f t="shared" si="18"/>
        <v>8.2417582417582409</v>
      </c>
      <c r="G108" s="26"/>
      <c r="H108" s="26">
        <f t="shared" si="19"/>
        <v>44.130134739018125</v>
      </c>
      <c r="I108" s="31">
        <v>1</v>
      </c>
      <c r="J108" s="2"/>
      <c r="K108" s="36">
        <v>385</v>
      </c>
      <c r="L108" s="35">
        <v>5</v>
      </c>
      <c r="M108" s="35">
        <v>0.059999999999999998</v>
      </c>
      <c r="N108" s="35">
        <f t="shared" si="21"/>
        <v>500.5</v>
      </c>
      <c r="O108" s="37">
        <f t="shared" si="22"/>
        <v>90.887672384048543</v>
      </c>
      <c r="Q108" s="36">
        <v>46</v>
      </c>
      <c r="R108" s="38">
        <f t="shared" si="23"/>
        <v>144.81424569845333</v>
      </c>
      <c r="T108" s="38">
        <v>2</v>
      </c>
      <c r="U108" s="39">
        <v>5</v>
      </c>
      <c r="V108" s="46"/>
    </row>
    <row r="109">
      <c r="A109" s="40" t="s">
        <v>104</v>
      </c>
      <c r="B109" s="27">
        <v>7</v>
      </c>
      <c r="C109" s="24">
        <v>1</v>
      </c>
      <c r="D109" s="24">
        <v>3</v>
      </c>
      <c r="E109" s="24">
        <v>1.75</v>
      </c>
      <c r="F109" s="24">
        <f t="shared" si="18"/>
        <v>5.1428571428571432</v>
      </c>
      <c r="G109" s="24">
        <v>430</v>
      </c>
      <c r="H109" s="24">
        <f t="shared" si="19"/>
        <v>27.537204077147315</v>
      </c>
      <c r="I109" s="25">
        <f t="shared" si="20"/>
        <v>1.0149634613153926</v>
      </c>
      <c r="J109" s="46"/>
      <c r="K109" s="33">
        <v>110</v>
      </c>
      <c r="L109" s="26">
        <v>0</v>
      </c>
      <c r="M109" s="26">
        <v>0.059999999999999998</v>
      </c>
      <c r="N109" s="26">
        <f t="shared" si="21"/>
        <v>110</v>
      </c>
      <c r="O109" s="31">
        <f t="shared" si="22"/>
        <v>19.975312611878799</v>
      </c>
      <c r="Q109" s="33">
        <v>14</v>
      </c>
      <c r="R109" s="34">
        <f t="shared" si="23"/>
        <v>49.946365482331842</v>
      </c>
      <c r="T109" s="34">
        <v>1</v>
      </c>
      <c r="U109" s="30">
        <v>2</v>
      </c>
      <c r="V109" s="46"/>
    </row>
    <row r="110">
      <c r="A110" s="40" t="s">
        <v>105</v>
      </c>
      <c r="B110" s="33">
        <v>7</v>
      </c>
      <c r="C110" s="26">
        <v>1</v>
      </c>
      <c r="D110" s="26">
        <v>1</v>
      </c>
      <c r="E110" s="26">
        <v>1</v>
      </c>
      <c r="F110" s="26">
        <f t="shared" si="18"/>
        <v>8</v>
      </c>
      <c r="G110" s="26">
        <v>430</v>
      </c>
      <c r="H110" s="26">
        <f t="shared" si="19"/>
        <v>42.835650786673597</v>
      </c>
      <c r="I110" s="31">
        <f t="shared" si="20"/>
        <v>1.0234716157205239</v>
      </c>
      <c r="J110" s="46"/>
      <c r="K110" s="33">
        <v>120</v>
      </c>
      <c r="L110" s="26">
        <v>0</v>
      </c>
      <c r="M110" s="26">
        <v>0.059999999999999998</v>
      </c>
      <c r="N110" s="26">
        <f t="shared" si="21"/>
        <v>120</v>
      </c>
      <c r="O110" s="31">
        <f t="shared" si="22"/>
        <v>21.7912501220496</v>
      </c>
      <c r="Q110" s="33">
        <v>51</v>
      </c>
      <c r="R110" s="34">
        <f t="shared" si="23"/>
        <v>94.672680875046296</v>
      </c>
      <c r="T110" s="34">
        <v>1</v>
      </c>
      <c r="U110" s="30">
        <v>4</v>
      </c>
      <c r="V110" s="46"/>
    </row>
    <row r="111">
      <c r="A111" s="40" t="s">
        <v>106</v>
      </c>
      <c r="B111" s="36">
        <v>12</v>
      </c>
      <c r="C111" s="35">
        <v>1</v>
      </c>
      <c r="D111" s="35">
        <v>3</v>
      </c>
      <c r="E111" s="35">
        <v>1.75</v>
      </c>
      <c r="F111" s="35">
        <f t="shared" si="18"/>
        <v>8</v>
      </c>
      <c r="G111" s="35">
        <v>550</v>
      </c>
      <c r="H111" s="35">
        <f t="shared" si="19"/>
        <v>42.835650786673597</v>
      </c>
      <c r="I111" s="37">
        <f t="shared" si="20"/>
        <v>1.0302197802197803</v>
      </c>
      <c r="J111" s="46"/>
      <c r="K111" s="36">
        <v>120</v>
      </c>
      <c r="L111" s="35">
        <v>0</v>
      </c>
      <c r="M111" s="35">
        <v>0.059999999999999998</v>
      </c>
      <c r="N111" s="35">
        <f t="shared" si="21"/>
        <v>120</v>
      </c>
      <c r="O111" s="37">
        <f t="shared" si="22"/>
        <v>21.7912501220496</v>
      </c>
      <c r="Q111" s="36">
        <v>105</v>
      </c>
      <c r="R111" s="38">
        <f t="shared" si="23"/>
        <v>139.80239085883781</v>
      </c>
      <c r="T111" s="38">
        <v>1</v>
      </c>
      <c r="U111" s="39">
        <v>4</v>
      </c>
      <c r="V111" s="46"/>
    </row>
    <row r="112">
      <c r="A112" s="40" t="s">
        <v>107</v>
      </c>
      <c r="B112" s="33">
        <v>13</v>
      </c>
      <c r="C112" s="26">
        <v>1</v>
      </c>
      <c r="D112" s="26">
        <v>3</v>
      </c>
      <c r="E112" s="26">
        <v>1.6000000000000001</v>
      </c>
      <c r="F112" s="26">
        <f t="shared" si="18"/>
        <v>9.375</v>
      </c>
      <c r="G112" s="24">
        <v>390</v>
      </c>
      <c r="H112" s="26">
        <f t="shared" si="19"/>
        <v>50.19802826563312</v>
      </c>
      <c r="I112" s="25">
        <f t="shared" si="20"/>
        <v>1.0249839846252402</v>
      </c>
      <c r="J112" s="46"/>
      <c r="K112" s="33">
        <v>230</v>
      </c>
      <c r="L112" s="26">
        <v>2</v>
      </c>
      <c r="M112" s="26">
        <v>0.059999999999999998</v>
      </c>
      <c r="N112" s="26">
        <f t="shared" si="21"/>
        <v>257.60000000000002</v>
      </c>
      <c r="O112" s="31">
        <f t="shared" si="22"/>
        <v>46.778550261999811</v>
      </c>
      <c r="Q112" s="33">
        <v>1</v>
      </c>
      <c r="R112" s="34">
        <f t="shared" si="23"/>
        <v>80.339539087360777</v>
      </c>
      <c r="T112" s="34">
        <v>2</v>
      </c>
      <c r="U112" s="30">
        <v>0</v>
      </c>
      <c r="V112" s="46"/>
    </row>
    <row r="113">
      <c r="A113" s="40" t="s">
        <v>108</v>
      </c>
      <c r="B113" s="33">
        <v>13</v>
      </c>
      <c r="C113" s="26">
        <v>1</v>
      </c>
      <c r="D113" s="26">
        <v>4</v>
      </c>
      <c r="E113" s="26">
        <v>1.6000000000000001</v>
      </c>
      <c r="F113" s="26">
        <f t="shared" si="18"/>
        <v>9.6875</v>
      </c>
      <c r="G113" s="26">
        <v>300</v>
      </c>
      <c r="H113" s="26">
        <f t="shared" si="19"/>
        <v>51.871295874487558</v>
      </c>
      <c r="I113" s="31">
        <f t="shared" si="20"/>
        <v>1.0197578075207139</v>
      </c>
      <c r="J113" s="46"/>
      <c r="K113" s="33">
        <v>400</v>
      </c>
      <c r="L113" s="26">
        <v>4</v>
      </c>
      <c r="M113" s="26">
        <v>0.059999999999999998</v>
      </c>
      <c r="N113" s="26">
        <f t="shared" si="21"/>
        <v>496</v>
      </c>
      <c r="O113" s="31">
        <f t="shared" si="22"/>
        <v>90.070500504471681</v>
      </c>
      <c r="Q113" s="33">
        <v>97</v>
      </c>
      <c r="R113" s="34">
        <f t="shared" si="23"/>
        <v>194.93020992037464</v>
      </c>
      <c r="T113" s="34">
        <v>3</v>
      </c>
      <c r="U113" s="30">
        <v>5</v>
      </c>
      <c r="V113" s="46"/>
    </row>
    <row r="114">
      <c r="A114" s="40" t="s">
        <v>109</v>
      </c>
      <c r="B114" s="36">
        <v>18</v>
      </c>
      <c r="C114" s="35">
        <v>1</v>
      </c>
      <c r="D114" s="35">
        <v>6</v>
      </c>
      <c r="E114" s="35">
        <v>1.6499999999999999</v>
      </c>
      <c r="F114" s="35">
        <f t="shared" si="18"/>
        <v>13.030303030303031</v>
      </c>
      <c r="G114" s="35"/>
      <c r="H114" s="35">
        <f t="shared" si="19"/>
        <v>69.770188781324421</v>
      </c>
      <c r="I114" s="37">
        <f t="shared" si="20"/>
        <v>1</v>
      </c>
      <c r="J114" s="46"/>
      <c r="K114" s="36">
        <v>530</v>
      </c>
      <c r="L114" s="35">
        <v>5</v>
      </c>
      <c r="M114" s="35">
        <v>0.059999999999999998</v>
      </c>
      <c r="N114" s="35">
        <f t="shared" si="21"/>
        <v>689</v>
      </c>
      <c r="O114" s="37">
        <f t="shared" si="22"/>
        <v>125.11809445076813</v>
      </c>
      <c r="Q114" s="36">
        <v>61</v>
      </c>
      <c r="R114" s="38">
        <f t="shared" si="23"/>
        <v>204.71062658567405</v>
      </c>
      <c r="T114" s="38">
        <v>3</v>
      </c>
      <c r="U114" s="39">
        <v>0</v>
      </c>
      <c r="V114" s="46"/>
    </row>
    <row r="115" ht="14.25">
      <c r="A115" s="40" t="s">
        <v>110</v>
      </c>
      <c r="B115" s="33">
        <v>17</v>
      </c>
      <c r="C115" s="26">
        <v>1</v>
      </c>
      <c r="D115" s="26">
        <v>3</v>
      </c>
      <c r="E115" s="26">
        <v>1.99</v>
      </c>
      <c r="F115" s="26">
        <f t="shared" si="18"/>
        <v>9.5477386934673376</v>
      </c>
      <c r="G115" s="26"/>
      <c r="H115" s="26">
        <f t="shared" si="19"/>
        <v>51.122950059472259</v>
      </c>
      <c r="I115" s="31">
        <v>1</v>
      </c>
      <c r="J115" s="46"/>
      <c r="K115" s="33">
        <v>235</v>
      </c>
      <c r="L115" s="26">
        <v>3</v>
      </c>
      <c r="M115" s="26">
        <v>0.059999999999999998</v>
      </c>
      <c r="N115" s="26">
        <f t="shared" si="21"/>
        <v>277.30000000000001</v>
      </c>
      <c r="O115" s="31">
        <f t="shared" si="22"/>
        <v>50.355947157036283</v>
      </c>
      <c r="Q115" s="33">
        <v>24</v>
      </c>
      <c r="R115" s="34">
        <f t="shared" si="23"/>
        <v>100.38311777320683</v>
      </c>
      <c r="T115" s="34">
        <v>4</v>
      </c>
      <c r="U115" s="30">
        <v>3</v>
      </c>
      <c r="V115" s="46"/>
    </row>
    <row r="116">
      <c r="A116" s="40" t="s">
        <v>111</v>
      </c>
      <c r="B116" s="33">
        <v>27</v>
      </c>
      <c r="C116" s="26">
        <v>1</v>
      </c>
      <c r="D116" s="26">
        <v>5</v>
      </c>
      <c r="E116" s="26">
        <v>1.8500000000000001</v>
      </c>
      <c r="F116" s="26">
        <f t="shared" si="18"/>
        <v>16.216216216216214</v>
      </c>
      <c r="G116" s="26"/>
      <c r="H116" s="26">
        <f t="shared" si="19"/>
        <v>86.829021864878897</v>
      </c>
      <c r="I116" s="31">
        <f t="shared" si="20"/>
        <v>1</v>
      </c>
      <c r="J116" s="46"/>
      <c r="K116" s="33">
        <v>590</v>
      </c>
      <c r="L116" s="26">
        <v>4</v>
      </c>
      <c r="M116" s="26">
        <v>0.059999999999999998</v>
      </c>
      <c r="N116" s="26">
        <f t="shared" si="21"/>
        <v>731.60000000000002</v>
      </c>
      <c r="O116" s="31">
        <f t="shared" si="22"/>
        <v>132.85398824409575</v>
      </c>
      <c r="Q116" s="33">
        <v>93</v>
      </c>
      <c r="R116" s="34">
        <f t="shared" si="23"/>
        <v>250.14640808717974</v>
      </c>
      <c r="T116" s="34">
        <v>4</v>
      </c>
      <c r="U116" s="30">
        <v>6</v>
      </c>
      <c r="V116" s="46"/>
    </row>
    <row r="117">
      <c r="A117" s="40" t="s">
        <v>112</v>
      </c>
      <c r="B117" s="36">
        <v>20</v>
      </c>
      <c r="C117" s="35">
        <v>1</v>
      </c>
      <c r="D117" s="35">
        <v>6</v>
      </c>
      <c r="E117" s="35">
        <v>1.95</v>
      </c>
      <c r="F117" s="35">
        <f t="shared" si="18"/>
        <v>12.051282051282051</v>
      </c>
      <c r="G117" s="35"/>
      <c r="H117" s="35">
        <f t="shared" si="19"/>
        <v>64.528063685053169</v>
      </c>
      <c r="I117" s="37">
        <v>1</v>
      </c>
      <c r="J117" s="46"/>
      <c r="K117" s="36">
        <v>640</v>
      </c>
      <c r="L117" s="35">
        <v>6</v>
      </c>
      <c r="M117" s="35">
        <v>0.059999999999999998</v>
      </c>
      <c r="N117" s="35">
        <f t="shared" si="21"/>
        <v>870.39999999999986</v>
      </c>
      <c r="O117" s="37">
        <f t="shared" si="22"/>
        <v>158.05920088526642</v>
      </c>
      <c r="Q117" s="36">
        <v>277</v>
      </c>
      <c r="R117" s="38">
        <f t="shared" si="23"/>
        <v>399.66981165625566</v>
      </c>
      <c r="T117" s="38">
        <v>3</v>
      </c>
      <c r="U117" s="39">
        <v>7</v>
      </c>
      <c r="V117" s="46"/>
    </row>
    <row r="118">
      <c r="T118" s="51"/>
      <c r="U118" s="46"/>
      <c r="V118" s="46"/>
    </row>
    <row r="119">
      <c r="N119" s="52"/>
      <c r="R119" s="52"/>
      <c r="T119" s="51"/>
      <c r="U119" s="46"/>
      <c r="V119" s="4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K120" s="26"/>
      <c r="L120" s="26"/>
      <c r="M120" s="26"/>
      <c r="N120" s="26"/>
      <c r="O120" s="26"/>
      <c r="P120" s="46"/>
      <c r="Q120" s="26"/>
      <c r="R120" s="49"/>
      <c r="T120" s="51"/>
      <c r="U120" s="46"/>
      <c r="V120" s="46"/>
    </row>
    <row r="121">
      <c r="A121" s="2"/>
      <c r="B121" s="3"/>
      <c r="C121" s="4"/>
      <c r="D121" s="4"/>
      <c r="E121" s="4"/>
      <c r="F121" s="4"/>
      <c r="G121" s="4"/>
      <c r="H121" s="4"/>
      <c r="I121" s="5"/>
      <c r="K121" s="44"/>
      <c r="L121" s="44"/>
      <c r="M121" s="44"/>
      <c r="N121" s="44"/>
      <c r="O121" s="44"/>
      <c r="P121" s="2"/>
      <c r="Q121" s="10"/>
      <c r="R121" s="11"/>
      <c r="T121" s="12"/>
      <c r="U121" s="45"/>
      <c r="V121" s="46"/>
    </row>
    <row r="122" ht="16.5">
      <c r="A122" s="14" t="s">
        <v>113</v>
      </c>
      <c r="B122" s="15" t="s">
        <v>1</v>
      </c>
      <c r="C122" s="16" t="s">
        <v>2</v>
      </c>
      <c r="D122" s="16" t="s">
        <v>3</v>
      </c>
      <c r="E122" s="16" t="s">
        <v>4</v>
      </c>
      <c r="F122" s="16" t="s">
        <v>5</v>
      </c>
      <c r="G122" s="16" t="s">
        <v>6</v>
      </c>
      <c r="H122" s="17" t="s">
        <v>7</v>
      </c>
      <c r="I122" s="17" t="s">
        <v>8</v>
      </c>
      <c r="K122" s="16" t="s">
        <v>9</v>
      </c>
      <c r="L122" s="16" t="s">
        <v>10</v>
      </c>
      <c r="M122" s="16" t="s">
        <v>11</v>
      </c>
      <c r="N122" s="16" t="s">
        <v>12</v>
      </c>
      <c r="O122" s="17" t="s">
        <v>13</v>
      </c>
      <c r="P122" s="2"/>
      <c r="Q122" s="17" t="s">
        <v>14</v>
      </c>
      <c r="R122" s="19" t="s">
        <v>15</v>
      </c>
      <c r="T122" s="20" t="s">
        <v>16</v>
      </c>
      <c r="U122" s="20" t="s">
        <v>17</v>
      </c>
      <c r="V122" s="46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1"/>
      <c r="K123" s="2"/>
      <c r="L123" s="2"/>
      <c r="M123" s="2"/>
      <c r="N123" s="2"/>
      <c r="O123" s="2"/>
      <c r="P123" s="2"/>
      <c r="Q123" s="2"/>
      <c r="R123" s="21"/>
      <c r="T123" s="26"/>
      <c r="U123" s="22"/>
      <c r="V123" s="46"/>
    </row>
    <row r="124">
      <c r="A124" s="40" t="s">
        <v>114</v>
      </c>
      <c r="B124" s="27">
        <v>9</v>
      </c>
      <c r="C124" s="24">
        <v>1</v>
      </c>
      <c r="D124" s="24">
        <v>2</v>
      </c>
      <c r="E124" s="24">
        <v>1.5</v>
      </c>
      <c r="F124" s="24">
        <f t="shared" si="18"/>
        <v>7</v>
      </c>
      <c r="G124" s="24"/>
      <c r="H124" s="24">
        <f t="shared" si="19"/>
        <v>37.481194438339401</v>
      </c>
      <c r="I124" s="25">
        <f t="shared" si="20"/>
        <v>1</v>
      </c>
      <c r="J124" s="1"/>
      <c r="K124" s="27">
        <v>180</v>
      </c>
      <c r="L124" s="24">
        <v>2</v>
      </c>
      <c r="M124" s="24">
        <v>0.059999999999999998</v>
      </c>
      <c r="N124" s="24">
        <f t="shared" si="21"/>
        <v>201.60000000000002</v>
      </c>
      <c r="O124" s="25">
        <f t="shared" si="22"/>
        <v>36.609300205043333</v>
      </c>
      <c r="P124" s="26"/>
      <c r="Q124" s="27">
        <v>1</v>
      </c>
      <c r="R124" s="28">
        <f t="shared" si="23"/>
        <v>60.072395714706182</v>
      </c>
      <c r="T124" s="28">
        <v>2</v>
      </c>
      <c r="U124" s="30">
        <v>2</v>
      </c>
      <c r="V124" s="46"/>
    </row>
    <row r="125">
      <c r="A125" s="40" t="s">
        <v>115</v>
      </c>
      <c r="B125" s="33">
        <v>16</v>
      </c>
      <c r="C125" s="26">
        <v>1</v>
      </c>
      <c r="D125" s="26">
        <v>2</v>
      </c>
      <c r="E125" s="26">
        <v>1.5</v>
      </c>
      <c r="F125" s="26">
        <f t="shared" si="18"/>
        <v>11.666666666666666</v>
      </c>
      <c r="G125" s="26"/>
      <c r="H125" s="26">
        <f t="shared" si="19"/>
        <v>62.468657397232327</v>
      </c>
      <c r="I125" s="31">
        <f t="shared" si="20"/>
        <v>1</v>
      </c>
      <c r="J125" s="1"/>
      <c r="K125" s="33">
        <v>425</v>
      </c>
      <c r="L125" s="26">
        <v>4</v>
      </c>
      <c r="M125" s="26">
        <v>0.059999999999999998</v>
      </c>
      <c r="N125" s="26">
        <f t="shared" si="21"/>
        <v>527</v>
      </c>
      <c r="O125" s="31">
        <f t="shared" si="22"/>
        <v>95.699906786001165</v>
      </c>
      <c r="P125" s="26"/>
      <c r="Q125" s="33">
        <v>29</v>
      </c>
      <c r="R125" s="34">
        <f t="shared" si="23"/>
        <v>149.73485134658679</v>
      </c>
      <c r="T125" s="34">
        <v>4</v>
      </c>
      <c r="U125" s="30">
        <v>4</v>
      </c>
      <c r="V125" s="46"/>
    </row>
    <row r="126">
      <c r="A126" s="40" t="s">
        <v>116</v>
      </c>
      <c r="B126" s="33">
        <v>14</v>
      </c>
      <c r="C126" s="26">
        <v>1</v>
      </c>
      <c r="D126" s="26">
        <v>3</v>
      </c>
      <c r="E126" s="26">
        <v>1.5</v>
      </c>
      <c r="F126" s="26">
        <f t="shared" si="18"/>
        <v>10.666666666666666</v>
      </c>
      <c r="G126" s="26"/>
      <c r="H126" s="26">
        <f t="shared" si="19"/>
        <v>57.114201048898124</v>
      </c>
      <c r="I126" s="31">
        <f t="shared" si="20"/>
        <v>1</v>
      </c>
      <c r="J126" s="1"/>
      <c r="K126" s="36">
        <v>340</v>
      </c>
      <c r="L126" s="35">
        <v>2</v>
      </c>
      <c r="M126" s="35">
        <v>0.059999999999999998</v>
      </c>
      <c r="N126" s="35">
        <f t="shared" si="21"/>
        <v>380.80000000000001</v>
      </c>
      <c r="O126" s="37">
        <f t="shared" si="22"/>
        <v>69.150900387304063</v>
      </c>
      <c r="P126" s="26"/>
      <c r="Q126" s="36">
        <v>24</v>
      </c>
      <c r="R126" s="38">
        <f t="shared" si="23"/>
        <v>120.21208114896177</v>
      </c>
      <c r="T126" s="38">
        <v>3</v>
      </c>
      <c r="U126" s="39">
        <v>2</v>
      </c>
      <c r="V126" s="46"/>
    </row>
    <row r="127">
      <c r="A127" s="40" t="s">
        <v>117</v>
      </c>
      <c r="B127" s="27">
        <v>12</v>
      </c>
      <c r="C127" s="24">
        <v>1</v>
      </c>
      <c r="D127" s="24">
        <v>3</v>
      </c>
      <c r="E127" s="24">
        <v>2</v>
      </c>
      <c r="F127" s="24">
        <f t="shared" si="18"/>
        <v>7</v>
      </c>
      <c r="G127" s="24">
        <v>200</v>
      </c>
      <c r="H127" s="24">
        <f t="shared" si="19"/>
        <v>37.481194438339401</v>
      </c>
      <c r="I127" s="25">
        <f t="shared" si="20"/>
        <v>1.009421265141319</v>
      </c>
      <c r="J127" s="1"/>
      <c r="K127" s="33">
        <v>175</v>
      </c>
      <c r="L127" s="26">
        <v>2</v>
      </c>
      <c r="M127" s="26">
        <v>0.059999999999999998</v>
      </c>
      <c r="N127" s="26">
        <f t="shared" si="21"/>
        <v>196.00000000000003</v>
      </c>
      <c r="O127" s="31">
        <f t="shared" si="22"/>
        <v>35.592375199347686</v>
      </c>
      <c r="Q127" s="33">
        <v>8</v>
      </c>
      <c r="R127" s="34">
        <f t="shared" si="23"/>
        <v>65.469908186557547</v>
      </c>
      <c r="T127" s="34">
        <v>2</v>
      </c>
      <c r="U127" s="30">
        <v>0</v>
      </c>
      <c r="V127" s="46"/>
    </row>
    <row r="128">
      <c r="A128" s="40" t="s">
        <v>118</v>
      </c>
      <c r="B128" s="33">
        <v>18</v>
      </c>
      <c r="C128" s="26">
        <v>1</v>
      </c>
      <c r="D128" s="26">
        <v>5</v>
      </c>
      <c r="E128" s="26">
        <v>1.95</v>
      </c>
      <c r="F128" s="26">
        <f t="shared" si="18"/>
        <v>10.76923076923077</v>
      </c>
      <c r="G128" s="26">
        <v>500</v>
      </c>
      <c r="H128" s="26">
        <f t="shared" si="19"/>
        <v>57.663376058983694</v>
      </c>
      <c r="I128" s="31">
        <f t="shared" si="20"/>
        <v>1.0372340425531914</v>
      </c>
      <c r="J128" s="1"/>
      <c r="K128" s="33">
        <v>250</v>
      </c>
      <c r="L128" s="26">
        <v>2</v>
      </c>
      <c r="M128" s="26">
        <v>0.059999999999999998</v>
      </c>
      <c r="N128" s="26">
        <f t="shared" si="21"/>
        <v>280</v>
      </c>
      <c r="O128" s="31">
        <f t="shared" si="22"/>
        <v>50.8462502847824</v>
      </c>
      <c r="Q128" s="33">
        <v>72</v>
      </c>
      <c r="R128" s="34">
        <f t="shared" si="23"/>
        <v>149.78458356184845</v>
      </c>
      <c r="T128" s="34">
        <v>3</v>
      </c>
      <c r="U128" s="30">
        <v>3</v>
      </c>
      <c r="V128" s="46"/>
    </row>
    <row r="129">
      <c r="A129" s="40" t="s">
        <v>119</v>
      </c>
      <c r="B129" s="36">
        <v>19</v>
      </c>
      <c r="C129" s="35">
        <v>1</v>
      </c>
      <c r="D129" s="35">
        <v>3</v>
      </c>
      <c r="E129" s="26">
        <v>2.1000000000000001</v>
      </c>
      <c r="F129" s="35">
        <f t="shared" si="18"/>
        <v>10</v>
      </c>
      <c r="G129" s="35"/>
      <c r="H129" s="35">
        <f t="shared" si="19"/>
        <v>53.544563483341996</v>
      </c>
      <c r="I129" s="37">
        <f t="shared" si="20"/>
        <v>1</v>
      </c>
      <c r="J129" s="1"/>
      <c r="K129" s="36">
        <v>275</v>
      </c>
      <c r="L129" s="35">
        <v>1</v>
      </c>
      <c r="M129" s="35">
        <v>0.059999999999999998</v>
      </c>
      <c r="N129" s="35">
        <f t="shared" si="21"/>
        <v>291.5</v>
      </c>
      <c r="O129" s="37">
        <f t="shared" si="22"/>
        <v>52.934578421478818</v>
      </c>
      <c r="Q129" s="36">
        <v>56</v>
      </c>
      <c r="R129" s="38">
        <f t="shared" si="23"/>
        <v>129.98331352385665</v>
      </c>
      <c r="T129" s="38">
        <v>3</v>
      </c>
      <c r="U129" s="39">
        <v>5</v>
      </c>
      <c r="V129" s="46"/>
    </row>
    <row r="130">
      <c r="A130" s="40" t="s">
        <v>120</v>
      </c>
      <c r="B130" s="33">
        <v>16</v>
      </c>
      <c r="C130" s="26">
        <v>1</v>
      </c>
      <c r="D130" s="26">
        <v>2</v>
      </c>
      <c r="E130" s="24">
        <v>1.7</v>
      </c>
      <c r="F130" s="26">
        <f t="shared" si="18"/>
        <v>10.294117647058824</v>
      </c>
      <c r="G130" s="26">
        <v>370</v>
      </c>
      <c r="H130" s="26">
        <f t="shared" si="19"/>
        <v>55.119403585793236</v>
      </c>
      <c r="I130" s="25">
        <f t="shared" si="20"/>
        <v>1.0260537169298865</v>
      </c>
      <c r="K130" s="33">
        <v>135</v>
      </c>
      <c r="L130" s="26">
        <v>0</v>
      </c>
      <c r="M130" s="26">
        <v>0.059999999999999998</v>
      </c>
      <c r="N130" s="26">
        <f t="shared" si="21"/>
        <v>135</v>
      </c>
      <c r="O130" s="31">
        <f t="shared" si="22"/>
        <v>24.515156387305801</v>
      </c>
      <c r="Q130" s="33">
        <v>-18</v>
      </c>
      <c r="R130" s="34">
        <f t="shared" si="23"/>
        <v>50.592295481389023</v>
      </c>
      <c r="T130" s="34">
        <v>2</v>
      </c>
      <c r="U130" s="30">
        <v>0</v>
      </c>
      <c r="V130" s="46"/>
    </row>
    <row r="131">
      <c r="A131" s="40" t="s">
        <v>121</v>
      </c>
      <c r="B131" s="33">
        <v>18</v>
      </c>
      <c r="C131" s="26">
        <v>1</v>
      </c>
      <c r="D131" s="26">
        <v>3</v>
      </c>
      <c r="E131" s="26">
        <v>1.6000000000000001</v>
      </c>
      <c r="F131" s="26">
        <f t="shared" si="18"/>
        <v>12.5</v>
      </c>
      <c r="G131" s="26">
        <v>440</v>
      </c>
      <c r="H131" s="26">
        <f t="shared" si="19"/>
        <v>66.930704354177493</v>
      </c>
      <c r="I131" s="31">
        <f t="shared" si="20"/>
        <v>1.0380622837370244</v>
      </c>
      <c r="K131" s="33">
        <v>365</v>
      </c>
      <c r="L131" s="26">
        <v>0</v>
      </c>
      <c r="M131" s="26">
        <v>0.059999999999999998</v>
      </c>
      <c r="N131" s="26">
        <f t="shared" si="21"/>
        <v>365</v>
      </c>
      <c r="O131" s="31">
        <f t="shared" si="22"/>
        <v>66.281719121234204</v>
      </c>
      <c r="P131" s="2"/>
      <c r="Q131" s="33">
        <v>-31</v>
      </c>
      <c r="R131" s="34">
        <f t="shared" si="23"/>
        <v>84.882289391345367</v>
      </c>
      <c r="T131" s="34">
        <v>4</v>
      </c>
      <c r="U131" s="30">
        <v>0</v>
      </c>
      <c r="V131" s="46"/>
    </row>
    <row r="132">
      <c r="A132" s="40" t="s">
        <v>122</v>
      </c>
      <c r="B132" s="33">
        <v>11</v>
      </c>
      <c r="C132" s="26">
        <v>1</v>
      </c>
      <c r="D132" s="26">
        <v>3</v>
      </c>
      <c r="E132" s="35">
        <v>1.25</v>
      </c>
      <c r="F132" s="26">
        <f t="shared" si="18"/>
        <v>10.4</v>
      </c>
      <c r="G132" s="26">
        <v>540</v>
      </c>
      <c r="H132" s="26">
        <f t="shared" si="19"/>
        <v>55.686346022675679</v>
      </c>
      <c r="I132" s="37">
        <f t="shared" si="20"/>
        <v>1.0388962765957446</v>
      </c>
      <c r="K132" s="36">
        <v>190</v>
      </c>
      <c r="L132" s="35">
        <v>0</v>
      </c>
      <c r="M132" s="35">
        <v>0.059999999999999998</v>
      </c>
      <c r="N132" s="35">
        <f t="shared" si="21"/>
        <v>190</v>
      </c>
      <c r="O132" s="37">
        <f t="shared" si="22"/>
        <v>34.502812693245197</v>
      </c>
      <c r="Q132" s="36">
        <v>42</v>
      </c>
      <c r="R132" s="38">
        <f t="shared" si="23"/>
        <v>109.86465983703529</v>
      </c>
      <c r="T132" s="38">
        <v>3</v>
      </c>
      <c r="U132" s="39">
        <v>5</v>
      </c>
    </row>
    <row r="133">
      <c r="A133" s="40" t="s">
        <v>123</v>
      </c>
      <c r="B133" s="27">
        <v>7</v>
      </c>
      <c r="C133" s="24">
        <v>1</v>
      </c>
      <c r="D133" s="24">
        <v>2</v>
      </c>
      <c r="E133" s="24">
        <v>1.5700000000000001</v>
      </c>
      <c r="F133" s="24">
        <f t="shared" si="18"/>
        <v>5.4140127388535033</v>
      </c>
      <c r="G133" s="24">
        <v>420</v>
      </c>
      <c r="H133" s="24">
        <f t="shared" si="19"/>
        <v>28.989094879516369</v>
      </c>
      <c r="I133" s="25">
        <f t="shared" si="20"/>
        <v>1.0153925753460096</v>
      </c>
      <c r="K133" s="33">
        <v>110</v>
      </c>
      <c r="L133" s="26">
        <v>0</v>
      </c>
      <c r="M133" s="26">
        <v>0.059999999999999998</v>
      </c>
      <c r="N133" s="26">
        <f t="shared" si="21"/>
        <v>110</v>
      </c>
      <c r="O133" s="31">
        <f t="shared" si="22"/>
        <v>19.975312611878799</v>
      </c>
      <c r="Q133" s="33">
        <v>37</v>
      </c>
      <c r="R133" s="34">
        <f t="shared" si="23"/>
        <v>69.830096888625221</v>
      </c>
      <c r="T133" s="34">
        <v>1</v>
      </c>
      <c r="U133" s="30">
        <v>3</v>
      </c>
      <c r="V133" s="46"/>
    </row>
    <row r="134">
      <c r="A134" s="40" t="s">
        <v>124</v>
      </c>
      <c r="B134" s="33">
        <v>7</v>
      </c>
      <c r="C134" s="26">
        <v>1</v>
      </c>
      <c r="D134" s="26">
        <v>2</v>
      </c>
      <c r="E134" s="26">
        <v>1.5700000000000001</v>
      </c>
      <c r="F134" s="26">
        <f t="shared" si="18"/>
        <v>5.4140127388535033</v>
      </c>
      <c r="G134" s="26">
        <v>420</v>
      </c>
      <c r="H134" s="26">
        <f t="shared" si="19"/>
        <v>28.989094879516369</v>
      </c>
      <c r="I134" s="31">
        <f t="shared" si="20"/>
        <v>1.0153925753460096</v>
      </c>
      <c r="K134" s="33">
        <v>125</v>
      </c>
      <c r="L134" s="26">
        <v>0</v>
      </c>
      <c r="M134" s="26">
        <v>0.059999999999999998</v>
      </c>
      <c r="N134" s="26">
        <f t="shared" si="21"/>
        <v>125</v>
      </c>
      <c r="O134" s="31">
        <f t="shared" si="22"/>
        <v>22.699218877134999</v>
      </c>
      <c r="Q134" s="47">
        <v>47</v>
      </c>
      <c r="R134" s="48">
        <f t="shared" si="23"/>
        <v>80.165904849537014</v>
      </c>
      <c r="T134" s="34">
        <v>1</v>
      </c>
      <c r="U134" s="30">
        <v>2</v>
      </c>
      <c r="V134" s="46"/>
    </row>
    <row r="135">
      <c r="A135" s="40" t="s">
        <v>125</v>
      </c>
      <c r="B135" s="36">
        <v>7</v>
      </c>
      <c r="C135" s="35">
        <v>1</v>
      </c>
      <c r="D135" s="35">
        <v>2</v>
      </c>
      <c r="E135" s="35">
        <v>1.5700000000000001</v>
      </c>
      <c r="F135" s="35">
        <f t="shared" si="18"/>
        <v>5.4140127388535033</v>
      </c>
      <c r="G135" s="35">
        <v>625</v>
      </c>
      <c r="H135" s="35">
        <f t="shared" si="19"/>
        <v>28.989094879516369</v>
      </c>
      <c r="I135" s="37">
        <f t="shared" si="20"/>
        <v>1.0230790116752646</v>
      </c>
      <c r="K135" s="36">
        <v>110</v>
      </c>
      <c r="L135" s="35">
        <v>0</v>
      </c>
      <c r="M135" s="35">
        <v>0.059999999999999998</v>
      </c>
      <c r="N135" s="35">
        <f t="shared" si="21"/>
        <v>110</v>
      </c>
      <c r="O135" s="37">
        <f t="shared" si="22"/>
        <v>19.975312611878799</v>
      </c>
      <c r="Q135" s="36">
        <v>67</v>
      </c>
      <c r="R135" s="38">
        <f t="shared" si="23"/>
        <v>94.912601124643373</v>
      </c>
      <c r="T135" s="38">
        <v>2</v>
      </c>
      <c r="U135" s="39">
        <v>4</v>
      </c>
      <c r="V135" s="46"/>
    </row>
    <row r="136">
      <c r="A136" s="40" t="s">
        <v>126</v>
      </c>
      <c r="B136" s="33">
        <v>15</v>
      </c>
      <c r="C136" s="26">
        <v>1</v>
      </c>
      <c r="D136" s="26">
        <v>4</v>
      </c>
      <c r="E136" s="26">
        <v>1.75</v>
      </c>
      <c r="F136" s="26">
        <f t="shared" si="18"/>
        <v>10</v>
      </c>
      <c r="G136" s="26"/>
      <c r="H136" s="26">
        <f t="shared" si="19"/>
        <v>53.544563483341996</v>
      </c>
      <c r="I136" s="25">
        <f t="shared" si="20"/>
        <v>1</v>
      </c>
      <c r="K136" s="33">
        <v>305</v>
      </c>
      <c r="L136" s="26">
        <v>2</v>
      </c>
      <c r="M136" s="26">
        <v>0.059999999999999998</v>
      </c>
      <c r="N136" s="26">
        <f t="shared" si="21"/>
        <v>341.60000000000002</v>
      </c>
      <c r="O136" s="31">
        <f t="shared" si="22"/>
        <v>62.032425347434533</v>
      </c>
      <c r="Q136" s="33">
        <v>60</v>
      </c>
      <c r="R136" s="34">
        <f t="shared" si="23"/>
        <v>140.46159106462125</v>
      </c>
      <c r="T136" s="34">
        <v>3</v>
      </c>
      <c r="U136" s="30">
        <v>5</v>
      </c>
      <c r="V136" s="46"/>
    </row>
    <row r="137">
      <c r="A137" s="40" t="s">
        <v>127</v>
      </c>
      <c r="B137" s="33">
        <v>17</v>
      </c>
      <c r="C137" s="26">
        <v>1</v>
      </c>
      <c r="D137" s="26">
        <v>6</v>
      </c>
      <c r="E137" s="26">
        <v>1.75</v>
      </c>
      <c r="F137" s="26">
        <f t="shared" si="18"/>
        <v>11.714285714285714</v>
      </c>
      <c r="G137" s="26"/>
      <c r="H137" s="26">
        <f t="shared" si="19"/>
        <v>62.723631509057761</v>
      </c>
      <c r="I137" s="31">
        <f t="shared" si="20"/>
        <v>1</v>
      </c>
      <c r="K137" s="33">
        <v>470</v>
      </c>
      <c r="L137" s="26">
        <v>3</v>
      </c>
      <c r="M137" s="26">
        <v>0.059999999999999998</v>
      </c>
      <c r="N137" s="26">
        <f t="shared" si="21"/>
        <v>554.60000000000002</v>
      </c>
      <c r="O137" s="31">
        <f t="shared" si="22"/>
        <v>100.71189431407257</v>
      </c>
      <c r="Q137" s="33">
        <v>118</v>
      </c>
      <c r="R137" s="34">
        <f t="shared" si="23"/>
        <v>225.14842065850428</v>
      </c>
      <c r="T137" s="34">
        <v>3</v>
      </c>
      <c r="U137" s="30">
        <v>6</v>
      </c>
    </row>
    <row r="138">
      <c r="A138" s="40" t="s">
        <v>128</v>
      </c>
      <c r="B138" s="36">
        <v>20</v>
      </c>
      <c r="C138" s="35">
        <v>1</v>
      </c>
      <c r="D138" s="35">
        <v>6</v>
      </c>
      <c r="E138" s="35">
        <v>1.6000000000000001</v>
      </c>
      <c r="F138" s="35">
        <f t="shared" si="18"/>
        <v>14.6875</v>
      </c>
      <c r="G138" s="35"/>
      <c r="H138" s="35">
        <f t="shared" si="19"/>
        <v>78.643577616158552</v>
      </c>
      <c r="I138" s="37">
        <f t="shared" si="20"/>
        <v>1</v>
      </c>
      <c r="K138" s="36">
        <v>520</v>
      </c>
      <c r="L138" s="35">
        <v>3</v>
      </c>
      <c r="M138" s="35">
        <v>0.059999999999999998</v>
      </c>
      <c r="N138" s="35">
        <f t="shared" si="21"/>
        <v>613.60000000000002</v>
      </c>
      <c r="O138" s="37">
        <f t="shared" si="22"/>
        <v>111.42592562408029</v>
      </c>
      <c r="Q138" s="36">
        <v>72</v>
      </c>
      <c r="R138" s="38">
        <f t="shared" si="23"/>
        <v>209.65560259219112</v>
      </c>
      <c r="T138" s="38">
        <v>3</v>
      </c>
      <c r="U138" s="39">
        <v>6</v>
      </c>
    </row>
    <row r="139">
      <c r="A139" s="40" t="s">
        <v>129</v>
      </c>
      <c r="B139" s="33">
        <v>8</v>
      </c>
      <c r="C139" s="26">
        <v>1</v>
      </c>
      <c r="D139" s="26">
        <v>3</v>
      </c>
      <c r="E139" s="26">
        <v>1.76</v>
      </c>
      <c r="F139" s="26">
        <f t="shared" si="18"/>
        <v>5.6818181818181817</v>
      </c>
      <c r="G139" s="26">
        <v>610</v>
      </c>
      <c r="H139" s="26">
        <f t="shared" si="19"/>
        <v>30.423047433717041</v>
      </c>
      <c r="I139" s="25">
        <f t="shared" si="20"/>
        <v>1.0236525785188058</v>
      </c>
      <c r="K139" s="33">
        <v>250</v>
      </c>
      <c r="L139" s="26">
        <v>2</v>
      </c>
      <c r="M139" s="26">
        <v>0.059999999999999998</v>
      </c>
      <c r="N139" s="26">
        <f t="shared" si="21"/>
        <v>280</v>
      </c>
      <c r="O139" s="31">
        <f t="shared" si="22"/>
        <v>50.8462502847824</v>
      </c>
      <c r="Q139" s="33">
        <v>163</v>
      </c>
      <c r="R139" s="34">
        <f t="shared" si="23"/>
        <v>200.03751717001583</v>
      </c>
      <c r="T139" s="34">
        <v>5</v>
      </c>
      <c r="U139" s="30">
        <v>5</v>
      </c>
    </row>
    <row r="140">
      <c r="A140" s="40" t="s">
        <v>130</v>
      </c>
      <c r="B140" s="33">
        <v>19</v>
      </c>
      <c r="C140" s="26">
        <v>1</v>
      </c>
      <c r="D140" s="26">
        <v>1</v>
      </c>
      <c r="E140" s="26">
        <v>2.5</v>
      </c>
      <c r="F140" s="26">
        <f t="shared" si="18"/>
        <v>8</v>
      </c>
      <c r="G140" s="26">
        <v>570</v>
      </c>
      <c r="H140" s="26">
        <f t="shared" si="19"/>
        <v>42.835650786673597</v>
      </c>
      <c r="I140" s="31">
        <f t="shared" si="20"/>
        <v>1.0313531353135312</v>
      </c>
      <c r="K140" s="33">
        <v>320</v>
      </c>
      <c r="L140" s="26">
        <v>2</v>
      </c>
      <c r="M140" s="26">
        <v>0.059999999999999998</v>
      </c>
      <c r="N140" s="26">
        <f t="shared" si="21"/>
        <v>358.40000000000003</v>
      </c>
      <c r="O140" s="31">
        <f t="shared" si="22"/>
        <v>65.083200364521474</v>
      </c>
      <c r="Q140" s="33">
        <v>231</v>
      </c>
      <c r="R140" s="34">
        <f t="shared" si="23"/>
        <v>279.63601580131603</v>
      </c>
      <c r="T140" s="34">
        <v>5</v>
      </c>
      <c r="U140" s="30">
        <v>5</v>
      </c>
      <c r="V140" s="46"/>
    </row>
    <row r="141">
      <c r="A141" s="40" t="s">
        <v>131</v>
      </c>
      <c r="B141" s="36">
        <v>37</v>
      </c>
      <c r="C141" s="35">
        <v>1</v>
      </c>
      <c r="D141" s="35">
        <v>8</v>
      </c>
      <c r="E141" s="35">
        <v>1.75</v>
      </c>
      <c r="F141" s="35">
        <f t="shared" si="18"/>
        <v>23.714285714285715</v>
      </c>
      <c r="G141" s="35"/>
      <c r="H141" s="35">
        <f t="shared" si="19"/>
        <v>126.97710768906816</v>
      </c>
      <c r="I141" s="37">
        <v>1</v>
      </c>
      <c r="K141" s="36">
        <v>960</v>
      </c>
      <c r="L141" s="35">
        <v>5</v>
      </c>
      <c r="M141" s="35">
        <v>0.059999999999999998</v>
      </c>
      <c r="N141" s="35">
        <f t="shared" si="21"/>
        <v>1248</v>
      </c>
      <c r="O141" s="37">
        <f t="shared" si="22"/>
        <v>226.62900126931584</v>
      </c>
      <c r="Q141" s="36">
        <v>396</v>
      </c>
      <c r="R141" s="38">
        <f t="shared" si="23"/>
        <v>599.6848871667072</v>
      </c>
      <c r="T141" s="38">
        <v>5</v>
      </c>
      <c r="U141" s="39">
        <v>0</v>
      </c>
      <c r="V141" s="46"/>
    </row>
    <row r="145">
      <c r="A145" s="2"/>
      <c r="B145" s="3"/>
      <c r="C145" s="4"/>
      <c r="D145" s="4"/>
      <c r="E145" s="4"/>
      <c r="F145" s="4"/>
      <c r="G145" s="4"/>
      <c r="H145" s="4"/>
      <c r="I145" s="5"/>
      <c r="K145" s="44"/>
      <c r="L145" s="44"/>
      <c r="M145" s="44"/>
      <c r="N145" s="44"/>
      <c r="O145" s="44"/>
      <c r="P145" s="2"/>
      <c r="R145" s="10"/>
      <c r="S145" s="11"/>
      <c r="T145" s="12"/>
      <c r="U145" s="45"/>
    </row>
    <row r="146" ht="16.5">
      <c r="A146" s="14" t="s">
        <v>132</v>
      </c>
      <c r="B146" s="15" t="s">
        <v>1</v>
      </c>
      <c r="C146" s="16" t="s">
        <v>2</v>
      </c>
      <c r="D146" s="16" t="s">
        <v>3</v>
      </c>
      <c r="E146" s="16" t="s">
        <v>4</v>
      </c>
      <c r="F146" s="16" t="s">
        <v>5</v>
      </c>
      <c r="G146" s="16" t="s">
        <v>6</v>
      </c>
      <c r="H146" s="17" t="s">
        <v>7</v>
      </c>
      <c r="I146" s="17" t="s">
        <v>8</v>
      </c>
      <c r="K146" s="16" t="s">
        <v>9</v>
      </c>
      <c r="L146" s="16" t="s">
        <v>10</v>
      </c>
      <c r="M146" s="16" t="s">
        <v>11</v>
      </c>
      <c r="N146" s="16" t="s">
        <v>12</v>
      </c>
      <c r="O146" s="17" t="s">
        <v>13</v>
      </c>
      <c r="P146" s="2"/>
      <c r="R146" s="17" t="s">
        <v>14</v>
      </c>
      <c r="S146" s="19" t="s">
        <v>15</v>
      </c>
      <c r="T146" s="20" t="s">
        <v>16</v>
      </c>
      <c r="U146" s="20" t="s">
        <v>17</v>
      </c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1"/>
      <c r="K147" s="2"/>
      <c r="L147" s="2"/>
      <c r="M147" s="2"/>
      <c r="N147" s="2"/>
      <c r="O147" s="2"/>
      <c r="P147" s="2"/>
      <c r="R147" s="2"/>
      <c r="S147" s="21"/>
      <c r="T147" s="26"/>
      <c r="U147" s="22"/>
    </row>
    <row r="148">
      <c r="A148" s="40" t="s">
        <v>133</v>
      </c>
      <c r="B148" s="27">
        <v>14</v>
      </c>
      <c r="C148" s="24">
        <v>1</v>
      </c>
      <c r="D148" s="24">
        <v>3</v>
      </c>
      <c r="E148" s="24">
        <v>2.1499999999999999</v>
      </c>
      <c r="F148" s="24">
        <f t="shared" si="18"/>
        <v>7.441860465116279</v>
      </c>
      <c r="G148" s="24"/>
      <c r="H148" s="24">
        <f t="shared" si="19"/>
        <v>39.847117010859158</v>
      </c>
      <c r="I148" s="25">
        <f t="shared" si="20"/>
        <v>1</v>
      </c>
      <c r="J148" s="1"/>
      <c r="K148" s="27">
        <v>225</v>
      </c>
      <c r="L148" s="24">
        <v>2</v>
      </c>
      <c r="M148" s="24">
        <v>0.059999999999999998</v>
      </c>
      <c r="N148" s="24">
        <f t="shared" si="21"/>
        <v>252.00000000000003</v>
      </c>
      <c r="O148" s="25">
        <f t="shared" si="22"/>
        <v>45.761625256304164</v>
      </c>
      <c r="P148" s="26"/>
      <c r="R148" s="53">
        <v>46</v>
      </c>
      <c r="S148" s="54">
        <f t="shared" ref="S148:S155" si="24">($H148+$O148+$R148)*$I148*0.8</f>
        <v>105.28699381373067</v>
      </c>
      <c r="T148" s="28">
        <v>2</v>
      </c>
      <c r="U148" s="30">
        <v>3</v>
      </c>
    </row>
    <row r="149">
      <c r="A149" s="40" t="s">
        <v>134</v>
      </c>
      <c r="B149" s="33">
        <v>14</v>
      </c>
      <c r="C149" s="26">
        <v>1</v>
      </c>
      <c r="D149" s="26">
        <v>3</v>
      </c>
      <c r="E149" s="26">
        <v>2.1499999999999999</v>
      </c>
      <c r="F149" s="26">
        <f t="shared" si="18"/>
        <v>7.441860465116279</v>
      </c>
      <c r="G149" s="26"/>
      <c r="H149" s="26">
        <f t="shared" si="19"/>
        <v>39.847117010859158</v>
      </c>
      <c r="I149" s="31">
        <f t="shared" si="20"/>
        <v>1</v>
      </c>
      <c r="J149" s="1"/>
      <c r="K149" s="33">
        <v>225</v>
      </c>
      <c r="L149" s="26">
        <v>2</v>
      </c>
      <c r="M149" s="26">
        <v>0.059999999999999998</v>
      </c>
      <c r="N149" s="26">
        <f t="shared" si="21"/>
        <v>252.00000000000003</v>
      </c>
      <c r="O149" s="31">
        <f t="shared" si="22"/>
        <v>45.761625256304164</v>
      </c>
      <c r="P149" s="26"/>
      <c r="R149" s="33">
        <v>71</v>
      </c>
      <c r="S149" s="34">
        <f t="shared" si="24"/>
        <v>125.28699381373067</v>
      </c>
      <c r="T149" s="48">
        <v>3</v>
      </c>
      <c r="U149" s="39">
        <v>4</v>
      </c>
    </row>
    <row r="150">
      <c r="A150" s="40" t="s">
        <v>135</v>
      </c>
      <c r="B150" s="27">
        <v>12</v>
      </c>
      <c r="C150" s="24">
        <v>1</v>
      </c>
      <c r="D150" s="24">
        <v>2</v>
      </c>
      <c r="E150" s="24">
        <v>2.1499999999999999</v>
      </c>
      <c r="F150" s="24">
        <f t="shared" si="18"/>
        <v>6.279069767441861</v>
      </c>
      <c r="G150" s="24">
        <v>600</v>
      </c>
      <c r="H150" s="24">
        <f t="shared" si="19"/>
        <v>33.62100497791242</v>
      </c>
      <c r="I150" s="25">
        <f t="shared" si="20"/>
        <v>1.0257633587786259</v>
      </c>
      <c r="J150" s="1"/>
      <c r="K150" s="27">
        <v>220</v>
      </c>
      <c r="L150" s="24">
        <v>1</v>
      </c>
      <c r="M150" s="24">
        <v>0.059999999999999998</v>
      </c>
      <c r="N150" s="24">
        <f t="shared" si="21"/>
        <v>233.20000000000002</v>
      </c>
      <c r="O150" s="25">
        <f t="shared" si="22"/>
        <v>42.347662737183057</v>
      </c>
      <c r="P150" s="26"/>
      <c r="R150" s="27">
        <v>21</v>
      </c>
      <c r="S150" s="28">
        <f t="shared" si="24"/>
        <v>79.57352503337988</v>
      </c>
      <c r="T150" s="28">
        <v>3</v>
      </c>
      <c r="U150" s="30">
        <v>0</v>
      </c>
    </row>
    <row r="151">
      <c r="A151" s="40" t="s">
        <v>136</v>
      </c>
      <c r="B151" s="36">
        <v>12</v>
      </c>
      <c r="C151" s="35">
        <v>1</v>
      </c>
      <c r="D151" s="35">
        <v>2</v>
      </c>
      <c r="E151" s="35">
        <v>0.94999999999999996</v>
      </c>
      <c r="F151" s="35">
        <f t="shared" si="18"/>
        <v>14.210526315789474</v>
      </c>
      <c r="G151" s="35">
        <v>710</v>
      </c>
      <c r="H151" s="35">
        <f t="shared" si="19"/>
        <v>76.08964284474915</v>
      </c>
      <c r="I151" s="37">
        <f t="shared" si="20"/>
        <v>1.0721137569123125</v>
      </c>
      <c r="J151" s="1"/>
      <c r="K151" s="36">
        <v>330</v>
      </c>
      <c r="L151" s="35">
        <v>3</v>
      </c>
      <c r="M151" s="35">
        <v>0.059999999999999998</v>
      </c>
      <c r="N151" s="35">
        <f t="shared" si="21"/>
        <v>389.39999999999998</v>
      </c>
      <c r="O151" s="37">
        <f t="shared" si="22"/>
        <v>70.712606646050943</v>
      </c>
      <c r="P151" s="26"/>
      <c r="R151" s="36">
        <v>22</v>
      </c>
      <c r="S151" s="38">
        <f t="shared" si="24"/>
        <v>144.78017110146493</v>
      </c>
      <c r="T151" s="38">
        <v>4</v>
      </c>
      <c r="U151" s="39">
        <v>0</v>
      </c>
    </row>
    <row r="152">
      <c r="A152" s="40" t="s">
        <v>137</v>
      </c>
      <c r="B152" s="36">
        <v>0</v>
      </c>
      <c r="C152" s="35">
        <v>1</v>
      </c>
      <c r="D152" s="35">
        <v>1</v>
      </c>
      <c r="E152" s="35">
        <v>9999</v>
      </c>
      <c r="F152" s="35">
        <f t="shared" si="18"/>
        <v>0.00010001000100010001</v>
      </c>
      <c r="G152" s="35"/>
      <c r="H152" s="35">
        <f t="shared" si="19"/>
        <v>0.00053549918475189514</v>
      </c>
      <c r="I152" s="37">
        <f t="shared" si="20"/>
        <v>1</v>
      </c>
      <c r="J152" s="1"/>
      <c r="K152" s="36">
        <v>115</v>
      </c>
      <c r="L152" s="35">
        <v>0</v>
      </c>
      <c r="M152" s="35">
        <v>0.059999999999999998</v>
      </c>
      <c r="N152" s="35">
        <f t="shared" si="21"/>
        <v>115</v>
      </c>
      <c r="O152" s="37">
        <f t="shared" si="22"/>
        <v>20.883281366964201</v>
      </c>
      <c r="P152" s="26"/>
      <c r="R152" s="36">
        <v>16</v>
      </c>
      <c r="S152" s="38">
        <f t="shared" si="24"/>
        <v>29.507053492919166</v>
      </c>
      <c r="T152" s="38">
        <v>1</v>
      </c>
      <c r="U152" s="39">
        <v>0</v>
      </c>
    </row>
    <row r="153">
      <c r="A153" s="40" t="s">
        <v>138</v>
      </c>
      <c r="B153" s="36">
        <v>7</v>
      </c>
      <c r="C153" s="35">
        <v>1</v>
      </c>
      <c r="D153" s="35">
        <v>2</v>
      </c>
      <c r="E153" s="35">
        <v>1.8999999999999999</v>
      </c>
      <c r="F153" s="35">
        <f t="shared" si="18"/>
        <v>4.4736842105263159</v>
      </c>
      <c r="G153" s="35">
        <v>700</v>
      </c>
      <c r="H153" s="35">
        <f t="shared" si="19"/>
        <v>23.954146821495105</v>
      </c>
      <c r="I153" s="37">
        <f t="shared" si="20"/>
        <v>1.0213223436660097</v>
      </c>
      <c r="J153" s="1"/>
      <c r="K153" s="36">
        <v>150</v>
      </c>
      <c r="L153" s="35">
        <v>2</v>
      </c>
      <c r="M153" s="35">
        <v>0.059999999999999998</v>
      </c>
      <c r="N153" s="35">
        <f t="shared" si="21"/>
        <v>168.00000000000003</v>
      </c>
      <c r="O153" s="37">
        <f t="shared" si="22"/>
        <v>30.507750170869446</v>
      </c>
      <c r="P153" s="26"/>
      <c r="R153" s="36">
        <f>H153*3.5+45</f>
        <v>128.83951387523285</v>
      </c>
      <c r="S153" s="38">
        <f t="shared" si="24"/>
        <v>149.76786123566464</v>
      </c>
      <c r="T153" s="38">
        <v>3</v>
      </c>
      <c r="U153" s="39">
        <v>2</v>
      </c>
    </row>
    <row r="154">
      <c r="A154" s="40" t="s">
        <v>139</v>
      </c>
      <c r="B154" s="36">
        <v>18</v>
      </c>
      <c r="C154" s="35">
        <v>1</v>
      </c>
      <c r="D154" s="35">
        <v>4</v>
      </c>
      <c r="E154" s="35">
        <v>2.1499999999999999</v>
      </c>
      <c r="F154" s="35">
        <f t="shared" si="18"/>
        <v>9.5348837209302335</v>
      </c>
      <c r="G154" s="35"/>
      <c r="H154" s="35">
        <f t="shared" si="19"/>
        <v>51.054118670163305</v>
      </c>
      <c r="I154" s="37">
        <f t="shared" si="20"/>
        <v>1</v>
      </c>
      <c r="J154" s="1"/>
      <c r="K154" s="36">
        <v>635</v>
      </c>
      <c r="L154" s="35">
        <v>3</v>
      </c>
      <c r="M154" s="35">
        <v>0.059999999999999998</v>
      </c>
      <c r="N154" s="35">
        <f t="shared" si="21"/>
        <v>749.29999999999995</v>
      </c>
      <c r="O154" s="37">
        <f t="shared" si="22"/>
        <v>136.06819763709802</v>
      </c>
      <c r="P154" s="26"/>
      <c r="R154" s="36">
        <v>26</v>
      </c>
      <c r="S154" s="38">
        <f t="shared" si="24"/>
        <v>170.49785304580905</v>
      </c>
      <c r="T154" s="38">
        <v>3</v>
      </c>
      <c r="U154" s="39">
        <v>1</v>
      </c>
    </row>
    <row r="155">
      <c r="A155" s="40" t="s">
        <v>140</v>
      </c>
      <c r="B155" s="36">
        <v>16</v>
      </c>
      <c r="C155" s="35">
        <v>1</v>
      </c>
      <c r="D155" s="35">
        <v>3</v>
      </c>
      <c r="E155" s="35">
        <v>1.75</v>
      </c>
      <c r="F155" s="35">
        <f t="shared" si="18"/>
        <v>10.285714285714286</v>
      </c>
      <c r="G155" s="35">
        <v>520</v>
      </c>
      <c r="H155" s="35">
        <f t="shared" si="19"/>
        <v>55.07440815429463</v>
      </c>
      <c r="I155" s="37">
        <f t="shared" si="20"/>
        <v>1.0369755866319033</v>
      </c>
      <c r="J155" s="1"/>
      <c r="K155" s="36">
        <v>290</v>
      </c>
      <c r="L155" s="35">
        <v>2</v>
      </c>
      <c r="M155" s="35">
        <v>0.059999999999999998</v>
      </c>
      <c r="N155" s="35">
        <f t="shared" si="21"/>
        <v>324.80000000000001</v>
      </c>
      <c r="O155" s="37">
        <f t="shared" si="22"/>
        <v>58.981650330347584</v>
      </c>
      <c r="P155" s="26"/>
      <c r="R155" s="36">
        <v>37</v>
      </c>
      <c r="S155" s="38">
        <f t="shared" si="24"/>
        <v>125.31315588913196</v>
      </c>
      <c r="T155" s="38">
        <v>3</v>
      </c>
      <c r="U155" s="39">
        <v>0</v>
      </c>
    </row>
    <row r="157">
      <c r="A157" s="40" t="s">
        <v>141</v>
      </c>
      <c r="B157" s="27">
        <v>14</v>
      </c>
      <c r="C157" s="24">
        <v>1</v>
      </c>
      <c r="D157" s="24">
        <v>3</v>
      </c>
      <c r="E157" s="24">
        <v>1.8</v>
      </c>
      <c r="F157" s="24">
        <f t="shared" si="18"/>
        <v>8.8888888888888893</v>
      </c>
      <c r="G157" s="24"/>
      <c r="H157" s="24">
        <f t="shared" si="19"/>
        <v>47.595167540748442</v>
      </c>
      <c r="I157" s="25">
        <f t="shared" si="20"/>
        <v>1</v>
      </c>
      <c r="J157" s="1"/>
      <c r="K157" s="33">
        <v>215</v>
      </c>
      <c r="L157" s="26">
        <v>1</v>
      </c>
      <c r="M157" s="26">
        <v>0.059999999999999998</v>
      </c>
      <c r="N157" s="26">
        <f t="shared" si="21"/>
        <v>227.90000000000001</v>
      </c>
      <c r="O157" s="31">
        <f t="shared" si="22"/>
        <v>41.385215856792534</v>
      </c>
      <c r="Q157" s="53">
        <v>30</v>
      </c>
      <c r="R157" s="33">
        <f>(H157)*0.04</f>
        <v>1.9038067016299376</v>
      </c>
      <c r="S157" s="34">
        <f t="shared" ref="S157:S167" si="25">($H157+$O157+$Q157+$R157)*$I157*0.8</f>
        <v>96.707352079336729</v>
      </c>
      <c r="T157" s="34">
        <v>6</v>
      </c>
      <c r="U157" s="34">
        <v>5</v>
      </c>
    </row>
    <row r="158">
      <c r="A158" s="40" t="s">
        <v>142</v>
      </c>
      <c r="B158" s="33">
        <v>16</v>
      </c>
      <c r="C158" s="26">
        <v>1</v>
      </c>
      <c r="D158" s="26">
        <v>3</v>
      </c>
      <c r="E158" s="26">
        <v>1.8</v>
      </c>
      <c r="F158" s="26">
        <f t="shared" si="18"/>
        <v>10</v>
      </c>
      <c r="G158" s="26"/>
      <c r="H158" s="26">
        <f t="shared" si="19"/>
        <v>53.544563483341996</v>
      </c>
      <c r="I158" s="31">
        <f t="shared" si="20"/>
        <v>1</v>
      </c>
      <c r="J158" s="1"/>
      <c r="K158" s="33">
        <v>240</v>
      </c>
      <c r="L158" s="26">
        <v>1</v>
      </c>
      <c r="M158" s="26">
        <v>0.059999999999999998</v>
      </c>
      <c r="N158" s="26">
        <f t="shared" si="21"/>
        <v>254.40000000000001</v>
      </c>
      <c r="O158" s="31">
        <f t="shared" si="22"/>
        <v>46.197450258745157</v>
      </c>
      <c r="Q158" s="33">
        <v>60</v>
      </c>
      <c r="R158" s="33">
        <f>(H158)*0.08</f>
        <v>4.28356507866736</v>
      </c>
      <c r="S158" s="34">
        <f t="shared" si="25"/>
        <v>131.22046305660362</v>
      </c>
      <c r="T158" s="34">
        <v>6</v>
      </c>
      <c r="U158" s="34">
        <v>5</v>
      </c>
    </row>
    <row r="159">
      <c r="A159" s="40" t="s">
        <v>143</v>
      </c>
      <c r="B159" s="33">
        <v>18</v>
      </c>
      <c r="C159" s="26">
        <v>1</v>
      </c>
      <c r="D159" s="26">
        <v>3</v>
      </c>
      <c r="E159" s="26">
        <v>1.8</v>
      </c>
      <c r="F159" s="26">
        <f t="shared" si="18"/>
        <v>11.111111111111111</v>
      </c>
      <c r="G159" s="26"/>
      <c r="H159" s="26">
        <f t="shared" si="19"/>
        <v>59.49395942593555</v>
      </c>
      <c r="I159" s="31">
        <f t="shared" si="20"/>
        <v>1</v>
      </c>
      <c r="J159" s="1"/>
      <c r="K159" s="33">
        <v>265</v>
      </c>
      <c r="L159" s="26">
        <v>2</v>
      </c>
      <c r="M159" s="26">
        <v>0.059999999999999998</v>
      </c>
      <c r="N159" s="26">
        <f t="shared" si="21"/>
        <v>296.80000000000001</v>
      </c>
      <c r="O159" s="31">
        <f t="shared" si="22"/>
        <v>53.897025301869348</v>
      </c>
      <c r="Q159" s="33">
        <v>90</v>
      </c>
      <c r="R159" s="33">
        <f>(H159)*0.12</f>
        <v>7.1392751311122655</v>
      </c>
      <c r="S159" s="34">
        <f t="shared" si="25"/>
        <v>168.42420788713375</v>
      </c>
      <c r="T159" s="34">
        <v>6</v>
      </c>
      <c r="U159" s="34">
        <v>5</v>
      </c>
    </row>
    <row r="160">
      <c r="A160" s="40" t="s">
        <v>144</v>
      </c>
      <c r="B160" s="33">
        <v>20</v>
      </c>
      <c r="C160" s="26">
        <v>1</v>
      </c>
      <c r="D160" s="26">
        <v>3</v>
      </c>
      <c r="E160" s="26">
        <v>1.8</v>
      </c>
      <c r="F160" s="26">
        <f t="shared" si="18"/>
        <v>12.222222222222221</v>
      </c>
      <c r="G160" s="26"/>
      <c r="H160" s="26">
        <f t="shared" si="19"/>
        <v>65.443355368529097</v>
      </c>
      <c r="I160" s="31">
        <f t="shared" si="20"/>
        <v>1</v>
      </c>
      <c r="J160" s="1"/>
      <c r="K160" s="33">
        <v>290</v>
      </c>
      <c r="L160" s="26">
        <v>2</v>
      </c>
      <c r="M160" s="26">
        <v>0.059999999999999998</v>
      </c>
      <c r="N160" s="26">
        <f t="shared" si="21"/>
        <v>324.80000000000001</v>
      </c>
      <c r="O160" s="31">
        <f t="shared" si="22"/>
        <v>58.981650330347584</v>
      </c>
      <c r="Q160" s="33">
        <v>120</v>
      </c>
      <c r="R160" s="33">
        <f>(H160)*0.16</f>
        <v>10.470936858964656</v>
      </c>
      <c r="S160" s="34">
        <f t="shared" si="25"/>
        <v>203.91675404627307</v>
      </c>
      <c r="T160" s="34">
        <v>6</v>
      </c>
      <c r="U160" s="34">
        <v>5</v>
      </c>
    </row>
    <row r="161">
      <c r="A161" s="40" t="s">
        <v>145</v>
      </c>
      <c r="B161" s="33">
        <v>22</v>
      </c>
      <c r="C161" s="26">
        <v>1</v>
      </c>
      <c r="D161" s="26">
        <v>3</v>
      </c>
      <c r="E161" s="26">
        <v>1.8</v>
      </c>
      <c r="F161" s="26">
        <f t="shared" si="18"/>
        <v>13.333333333333332</v>
      </c>
      <c r="G161" s="26"/>
      <c r="H161" s="26">
        <f t="shared" si="19"/>
        <v>71.392751311122652</v>
      </c>
      <c r="I161" s="31">
        <f t="shared" si="20"/>
        <v>1</v>
      </c>
      <c r="J161" s="1"/>
      <c r="K161" s="33">
        <v>315</v>
      </c>
      <c r="L161" s="26">
        <v>2</v>
      </c>
      <c r="M161" s="26">
        <v>0.059999999999999998</v>
      </c>
      <c r="N161" s="26">
        <f t="shared" si="21"/>
        <v>352.80000000000001</v>
      </c>
      <c r="O161" s="31">
        <f t="shared" si="22"/>
        <v>64.06627535882582</v>
      </c>
      <c r="Q161" s="33">
        <v>150</v>
      </c>
      <c r="R161" s="33">
        <f>(H161)*0.2</f>
        <v>14.278550262224531</v>
      </c>
      <c r="S161" s="34">
        <f t="shared" si="25"/>
        <v>239.79006154573841</v>
      </c>
      <c r="T161" s="34">
        <v>6</v>
      </c>
      <c r="U161" s="34">
        <v>5</v>
      </c>
    </row>
    <row r="162">
      <c r="A162" s="40" t="s">
        <v>146</v>
      </c>
      <c r="B162" s="33">
        <v>24</v>
      </c>
      <c r="C162" s="26">
        <v>1</v>
      </c>
      <c r="D162" s="26">
        <v>3</v>
      </c>
      <c r="E162" s="26">
        <v>1.8</v>
      </c>
      <c r="F162" s="26">
        <f t="shared" si="18"/>
        <v>14.444444444444445</v>
      </c>
      <c r="G162" s="26">
        <v>500</v>
      </c>
      <c r="H162" s="26">
        <f t="shared" si="19"/>
        <v>77.34214725371622</v>
      </c>
      <c r="I162" s="31">
        <f t="shared" si="20"/>
        <v>1.0505836575875485</v>
      </c>
      <c r="J162" s="1"/>
      <c r="K162" s="33">
        <v>340</v>
      </c>
      <c r="L162" s="26">
        <v>3</v>
      </c>
      <c r="M162" s="26">
        <v>0.059999999999999998</v>
      </c>
      <c r="N162" s="26">
        <f t="shared" si="21"/>
        <v>401.19999999999999</v>
      </c>
      <c r="O162" s="31">
        <f t="shared" si="22"/>
        <v>72.8554129080525</v>
      </c>
      <c r="Q162" s="33">
        <v>180</v>
      </c>
      <c r="R162" s="33">
        <f>(H162)*0.24</f>
        <v>18.562115340891893</v>
      </c>
      <c r="S162" s="34">
        <f t="shared" si="25"/>
        <v>293.12097240690531</v>
      </c>
      <c r="T162" s="34">
        <v>6</v>
      </c>
      <c r="U162" s="34">
        <v>5</v>
      </c>
    </row>
    <row r="163">
      <c r="A163" s="40" t="s">
        <v>147</v>
      </c>
      <c r="B163" s="33">
        <v>26</v>
      </c>
      <c r="C163" s="26">
        <v>1</v>
      </c>
      <c r="D163" s="26">
        <v>3</v>
      </c>
      <c r="E163" s="26">
        <v>1.8</v>
      </c>
      <c r="F163" s="26">
        <f t="shared" si="18"/>
        <v>15.555555555555555</v>
      </c>
      <c r="G163" s="26">
        <v>500</v>
      </c>
      <c r="H163" s="26">
        <f t="shared" si="19"/>
        <v>83.291543196309775</v>
      </c>
      <c r="I163" s="31">
        <f t="shared" si="20"/>
        <v>1.0546875</v>
      </c>
      <c r="J163" s="1"/>
      <c r="K163" s="33">
        <v>365</v>
      </c>
      <c r="L163" s="26">
        <v>3</v>
      </c>
      <c r="M163" s="26">
        <v>0.059999999999999998</v>
      </c>
      <c r="N163" s="26">
        <f t="shared" si="21"/>
        <v>430.69999999999999</v>
      </c>
      <c r="O163" s="31">
        <f t="shared" si="22"/>
        <v>78.212428563056349</v>
      </c>
      <c r="Q163" s="33">
        <v>210</v>
      </c>
      <c r="R163" s="33">
        <f>(H163)*0.28</f>
        <v>23.321632094966738</v>
      </c>
      <c r="S163" s="34">
        <f t="shared" si="25"/>
        <v>333.13410325209338</v>
      </c>
      <c r="T163" s="34">
        <v>6</v>
      </c>
      <c r="U163" s="34">
        <v>5</v>
      </c>
    </row>
    <row r="164">
      <c r="A164" s="40" t="s">
        <v>148</v>
      </c>
      <c r="B164" s="33">
        <v>28</v>
      </c>
      <c r="C164" s="26">
        <v>1</v>
      </c>
      <c r="D164" s="26">
        <v>3</v>
      </c>
      <c r="E164" s="26">
        <v>1.8</v>
      </c>
      <c r="F164" s="26">
        <f t="shared" ref="F164:F167" si="26">(2*B164+C164+D164)/(E164*2)</f>
        <v>16.666666666666668</v>
      </c>
      <c r="G164" s="26">
        <v>500</v>
      </c>
      <c r="H164" s="26">
        <f t="shared" ref="H164:H167" si="27">F164*5.3544563483342</f>
        <v>89.240939138903329</v>
      </c>
      <c r="I164" s="31">
        <f t="shared" ref="I164:I167" si="28">(500/F164)/((500/F164)-(G164/300))</f>
        <v>1.0588235294117647</v>
      </c>
      <c r="J164" s="1"/>
      <c r="K164" s="33">
        <v>390</v>
      </c>
      <c r="L164" s="26">
        <v>3</v>
      </c>
      <c r="M164" s="26">
        <v>0.059999999999999998</v>
      </c>
      <c r="N164" s="26">
        <f t="shared" ref="N164:N167" si="29">K164*(L164*M164+1)</f>
        <v>460.19999999999999</v>
      </c>
      <c r="O164" s="31">
        <f t="shared" ref="O164:O167" si="30">N164*0.18159375101708</f>
        <v>83.569444218060212</v>
      </c>
      <c r="Q164" s="33">
        <v>240</v>
      </c>
      <c r="R164" s="33">
        <f>(H164)*0.32</f>
        <v>28.557100524449066</v>
      </c>
      <c r="S164" s="34">
        <f t="shared" si="25"/>
        <v>373.86422164072604</v>
      </c>
      <c r="T164" s="34">
        <v>6</v>
      </c>
      <c r="U164" s="34">
        <v>5</v>
      </c>
    </row>
    <row r="165">
      <c r="A165" s="40" t="s">
        <v>149</v>
      </c>
      <c r="B165" s="33">
        <v>30</v>
      </c>
      <c r="C165" s="26">
        <v>1</v>
      </c>
      <c r="D165" s="26">
        <v>3</v>
      </c>
      <c r="E165" s="26">
        <v>1.8</v>
      </c>
      <c r="F165" s="26">
        <f t="shared" si="26"/>
        <v>17.777777777777779</v>
      </c>
      <c r="G165" s="26">
        <v>500</v>
      </c>
      <c r="H165" s="26">
        <f t="shared" si="27"/>
        <v>95.190335081496883</v>
      </c>
      <c r="I165" s="31">
        <f t="shared" si="28"/>
        <v>1.0629921259842521</v>
      </c>
      <c r="J165" s="1"/>
      <c r="K165" s="33">
        <v>415</v>
      </c>
      <c r="L165" s="26">
        <v>4</v>
      </c>
      <c r="M165" s="26">
        <v>0.059999999999999998</v>
      </c>
      <c r="N165" s="26">
        <f t="shared" si="29"/>
        <v>514.60000000000002</v>
      </c>
      <c r="O165" s="31">
        <f t="shared" si="30"/>
        <v>93.448144273389374</v>
      </c>
      <c r="Q165" s="33">
        <v>270</v>
      </c>
      <c r="R165" s="33">
        <f t="shared" ref="R165:R166" si="31">(H165)*0.36</f>
        <v>34.26852062933888</v>
      </c>
      <c r="S165" s="34">
        <f t="shared" si="25"/>
        <v>419.16500786060101</v>
      </c>
      <c r="T165" s="34">
        <v>6</v>
      </c>
      <c r="U165" s="34">
        <v>5</v>
      </c>
    </row>
    <row r="166">
      <c r="A166" s="40" t="s">
        <v>150</v>
      </c>
      <c r="B166" s="33">
        <v>32</v>
      </c>
      <c r="C166" s="26">
        <v>1</v>
      </c>
      <c r="D166" s="26">
        <v>3</v>
      </c>
      <c r="E166" s="26">
        <v>1.8</v>
      </c>
      <c r="F166" s="26">
        <f t="shared" si="26"/>
        <v>18.888888888888889</v>
      </c>
      <c r="G166" s="26">
        <v>500</v>
      </c>
      <c r="H166" s="26">
        <f t="shared" si="27"/>
        <v>101.13973102409044</v>
      </c>
      <c r="I166" s="31">
        <f t="shared" si="28"/>
        <v>1.0671936758893281</v>
      </c>
      <c r="J166" s="1"/>
      <c r="K166" s="33">
        <v>440</v>
      </c>
      <c r="L166" s="26">
        <v>4</v>
      </c>
      <c r="M166" s="26">
        <v>0.059999999999999998</v>
      </c>
      <c r="N166" s="26">
        <f t="shared" si="29"/>
        <v>545.60000000000002</v>
      </c>
      <c r="O166" s="31">
        <f t="shared" si="30"/>
        <v>99.077550554918858</v>
      </c>
      <c r="Q166" s="33">
        <v>300</v>
      </c>
      <c r="R166" s="33">
        <f t="shared" si="31"/>
        <v>36.410303168672556</v>
      </c>
      <c r="S166" s="34">
        <f t="shared" si="25"/>
        <v>458.14845180039242</v>
      </c>
      <c r="T166" s="34">
        <v>6</v>
      </c>
      <c r="U166" s="34">
        <v>5</v>
      </c>
    </row>
    <row r="167">
      <c r="A167" s="40" t="s">
        <v>151</v>
      </c>
      <c r="B167" s="36">
        <v>34</v>
      </c>
      <c r="C167" s="35">
        <v>1</v>
      </c>
      <c r="D167" s="35">
        <v>3</v>
      </c>
      <c r="E167" s="35">
        <v>1.8</v>
      </c>
      <c r="F167" s="35">
        <f t="shared" si="26"/>
        <v>20</v>
      </c>
      <c r="G167" s="35">
        <v>500</v>
      </c>
      <c r="H167" s="35">
        <f t="shared" si="27"/>
        <v>107.08912696668399</v>
      </c>
      <c r="I167" s="37">
        <f t="shared" si="28"/>
        <v>1.0714285714285714</v>
      </c>
      <c r="J167" s="1"/>
      <c r="K167" s="36">
        <v>465</v>
      </c>
      <c r="L167" s="35">
        <v>5</v>
      </c>
      <c r="M167" s="35">
        <v>0.059999999999999998</v>
      </c>
      <c r="N167" s="35">
        <f t="shared" si="29"/>
        <v>604.5</v>
      </c>
      <c r="O167" s="37">
        <f t="shared" si="30"/>
        <v>109.77342248982487</v>
      </c>
      <c r="Q167" s="41">
        <v>330</v>
      </c>
      <c r="R167" s="41">
        <f>(H167)*0.4</f>
        <v>42.835650786673597</v>
      </c>
      <c r="S167" s="38">
        <f t="shared" si="25"/>
        <v>505.45560020844209</v>
      </c>
      <c r="T167" s="38">
        <v>6</v>
      </c>
      <c r="U167" s="38">
        <v>5</v>
      </c>
    </row>
  </sheetData>
  <mergeCells count="3">
    <mergeCell ref="B1:I1"/>
    <mergeCell ref="K1:O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priority="3250" id="{00F6008B-00A8-49B3-8FEA-009D00CF0024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N148:N152 N154:N155 N157:N167</xm:sqref>
        </x14:conditionalFormatting>
        <x14:conditionalFormatting xmlns:xm="http://schemas.microsoft.com/office/excel/2006/main">
          <x14:cfRule type="dataBar" priority="3246" id="{00ED00B0-00BC-4A86-BAB0-004C009700F9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F148:F152 F154:F155 F157:F167</xm:sqref>
        </x14:conditionalFormatting>
        <x14:conditionalFormatting xmlns:xm="http://schemas.microsoft.com/office/excel/2006/main">
          <x14:cfRule type="dataBar" priority="3242" id="{00CA0023-0093-41BA-AC14-00FA0086000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T148:U152 T154:U155 T157:U167</xm:sqref>
        </x14:conditionalFormatting>
        <x14:conditionalFormatting xmlns:xm="http://schemas.microsoft.com/office/excel/2006/main">
          <x14:cfRule type="dataBar" priority="3238" id="{002500CA-003E-4701-A240-00F6004D0003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S148:S152 S154:S155 S157:S167</xm:sqref>
        </x14:conditionalFormatting>
        <x14:conditionalFormatting xmlns:xm="http://schemas.microsoft.com/office/excel/2006/main">
          <x14:cfRule type="dataBar" priority="3235" id="{000900B7-00EB-430F-9A8B-005F0067000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U148:U152 U154 U157:U167</xm:sqref>
        </x14:conditionalFormatting>
        <x14:conditionalFormatting xmlns:xm="http://schemas.microsoft.com/office/excel/2006/main">
          <x14:cfRule type="dataBar" priority="3230" id="{00CB00F6-0093-48BF-BDC1-00E200030082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T148:T152 T154 T157:T167</xm:sqref>
        </x14:conditionalFormatting>
        <x14:conditionalFormatting xmlns:xm="http://schemas.microsoft.com/office/excel/2006/main">
          <x14:cfRule type="dataBar" priority="3229" id="{0086009D-0023-4D83-8C98-000000F00019}">
            <x14:dataBar maxLength="90" minLength="10" axisPosition="automatic" direction="context">
              <x14:cfvo type="num">
                <xm:f>0</xm:f>
              </x14:cfvo>
              <x14:cfvo type="max"/>
              <x14:fillColor rgb="FF008AEF"/>
            </x14:dataBar>
          </x14:cfRule>
          <xm:sqref>T148:T152 T154 T157:T167</xm:sqref>
        </x14:conditionalFormatting>
        <x14:conditionalFormatting xmlns:xm="http://schemas.microsoft.com/office/excel/2006/main">
          <x14:cfRule type="dataBar" priority="3220" id="{00DF0097-001F-44D1-A71C-00550093007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F148:F152 F154 F157:F167</xm:sqref>
        </x14:conditionalFormatting>
        <x14:conditionalFormatting xmlns:xm="http://schemas.microsoft.com/office/excel/2006/main">
          <x14:cfRule type="dataBar" priority="3215" id="{0064009F-0056-43E2-9593-009F00F70087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F151:F152 F154 F157:F167</xm:sqref>
        </x14:conditionalFormatting>
        <x14:conditionalFormatting xmlns:xm="http://schemas.microsoft.com/office/excel/2006/main">
          <x14:cfRule type="dataBar" priority="3214" id="{002E00E5-0063-4815-9FAA-006D0082005A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F151:F152 F154 F157:F167</xm:sqref>
        </x14:conditionalFormatting>
        <x14:conditionalFormatting xmlns:xm="http://schemas.microsoft.com/office/excel/2006/main">
          <x14:cfRule type="dataBar" priority="3209" id="{0078005C-009F-4908-8371-000200E50053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N151:N152 N154 N157:N167</xm:sqref>
        </x14:conditionalFormatting>
        <x14:conditionalFormatting xmlns:xm="http://schemas.microsoft.com/office/excel/2006/main">
          <x14:cfRule type="dataBar" priority="3208" id="{005800E3-0082-4FD1-A51D-00EA00B10033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N151:N152 N154 N157:N167</xm:sqref>
        </x14:conditionalFormatting>
        <x14:conditionalFormatting xmlns:xm="http://schemas.microsoft.com/office/excel/2006/main">
          <x14:cfRule type="dataBar" priority="3205" id="{003300BF-008E-42D9-A182-00EE0083007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U151:U152 U154 U157:U167</xm:sqref>
        </x14:conditionalFormatting>
        <x14:conditionalFormatting xmlns:xm="http://schemas.microsoft.com/office/excel/2006/main">
          <x14:cfRule type="dataBar" priority="3202" id="{00E20053-0032-488F-853C-004D002C001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U154 U152 U157:U167</xm:sqref>
        </x14:conditionalFormatting>
        <x14:conditionalFormatting xmlns:xm="http://schemas.microsoft.com/office/excel/2006/main">
          <x14:cfRule type="dataBar" priority="3199" id="{00280097-0014-41F5-9213-00B800550017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U152 U154 U157:U167</xm:sqref>
        </x14:conditionalFormatting>
        <x14:conditionalFormatting xmlns:xm="http://schemas.microsoft.com/office/excel/2006/main">
          <x14:cfRule type="dataBar" priority="3196" id="{007D00EF-0010-4E04-BB5A-002C008200C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U152 U154 U157:U167</xm:sqref>
        </x14:conditionalFormatting>
        <x14:conditionalFormatting xmlns:xm="http://schemas.microsoft.com/office/excel/2006/main">
          <x14:cfRule type="dataBar" priority="3184" id="{007B00A0-0097-456B-88B6-00D800DD009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U151:U152 U154 U157:U167</xm:sqref>
        </x14:conditionalFormatting>
        <x14:conditionalFormatting xmlns:xm="http://schemas.microsoft.com/office/excel/2006/main">
          <x14:cfRule type="dataBar" priority="3181" id="{00360036-00F4-481F-A84D-00A000ED00C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U151:U152 U154 U157:U167</xm:sqref>
        </x14:conditionalFormatting>
        <x14:conditionalFormatting xmlns:xm="http://schemas.microsoft.com/office/excel/2006/main">
          <x14:cfRule type="dataBar" priority="3178" id="{00C90066-00EC-4403-B1C9-005500EE004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U151:U152 U154 U157:U167</xm:sqref>
        </x14:conditionalFormatting>
        <x14:conditionalFormatting xmlns:xm="http://schemas.microsoft.com/office/excel/2006/main">
          <x14:cfRule type="dataBar" priority="3175" id="{003600EF-004F-43A3-9143-00600093006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T151:T152 T154 T157:T167</xm:sqref>
        </x14:conditionalFormatting>
        <x14:conditionalFormatting xmlns:xm="http://schemas.microsoft.com/office/excel/2006/main">
          <x14:cfRule type="dataBar" priority="3172" id="{00230013-0042-4E5F-A765-00A200C7002C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T151:T152 T154 T157:T167</xm:sqref>
        </x14:conditionalFormatting>
        <x14:conditionalFormatting xmlns:xm="http://schemas.microsoft.com/office/excel/2006/main">
          <x14:cfRule type="dataBar" priority="3169" id="{00F10084-00AC-40A8-A0C3-007600B4002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T151:T152 T154 T157:T167</xm:sqref>
        </x14:conditionalFormatting>
        <x14:conditionalFormatting xmlns:xm="http://schemas.microsoft.com/office/excel/2006/main">
          <x14:cfRule type="dataBar" priority="3166" id="{00340067-0096-4EC6-9090-003000D9009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S151:S152 S154 S157:S167</xm:sqref>
        </x14:conditionalFormatting>
        <x14:conditionalFormatting xmlns:xm="http://schemas.microsoft.com/office/excel/2006/main">
          <x14:cfRule type="dataBar" priority="3163" id="{00420002-0096-4F16-872F-00A700C7002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S151:S152 S154 S157:S167</xm:sqref>
        </x14:conditionalFormatting>
        <x14:conditionalFormatting xmlns:xm="http://schemas.microsoft.com/office/excel/2006/main">
          <x14:cfRule type="dataBar" priority="3158" id="{001700E0-00EE-42E7-B957-00DA00A5005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U150 U148 U152 U154 U157:U167</xm:sqref>
        </x14:conditionalFormatting>
        <x14:conditionalFormatting xmlns:xm="http://schemas.microsoft.com/office/excel/2006/main">
          <x14:cfRule type="dataBar" priority="3153" id="{009E003B-00EA-4003-AB53-0065005600A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U148 U150 U152 U154 U157:U167</xm:sqref>
        </x14:conditionalFormatting>
        <x14:conditionalFormatting xmlns:xm="http://schemas.microsoft.com/office/excel/2006/main">
          <x14:cfRule type="dataBar" priority="3148" id="{002B00BE-00A3-4902-B15F-003C006B00C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U148 U150 U152 U154 U157:U167</xm:sqref>
        </x14:conditionalFormatting>
        <x14:conditionalFormatting xmlns:xm="http://schemas.microsoft.com/office/excel/2006/main">
          <x14:cfRule type="dataBar" priority="3143" id="{005900C2-00FA-46FB-AC9E-00F80065006A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T150 T148 T152 T154 T157:T167</xm:sqref>
        </x14:conditionalFormatting>
        <x14:conditionalFormatting xmlns:xm="http://schemas.microsoft.com/office/excel/2006/main">
          <x14:cfRule type="dataBar" priority="3138" id="{002D009E-00F6-4A8B-830F-0016009D009F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T148 T150 T152 T154 T157:T167</xm:sqref>
        </x14:conditionalFormatting>
        <x14:conditionalFormatting xmlns:xm="http://schemas.microsoft.com/office/excel/2006/main">
          <x14:cfRule type="dataBar" priority="3133" id="{00B100EE-00B2-4FED-B46D-00770003004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T148 T150 T152 T154 T157:T167</xm:sqref>
        </x14:conditionalFormatting>
        <x14:conditionalFormatting xmlns:xm="http://schemas.microsoft.com/office/excel/2006/main">
          <x14:cfRule type="dataBar" priority="3128" id="{0037004B-00F8-4ECD-98FF-003A002A001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S148 S150 S152 S154 S157:S167</xm:sqref>
        </x14:conditionalFormatting>
        <x14:conditionalFormatting xmlns:xm="http://schemas.microsoft.com/office/excel/2006/main">
          <x14:cfRule type="dataBar" priority="3123" id="{00DD00B2-0079-4F3E-B4C2-00B70043005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N145:N148 N150 N152 N154 N157:N167</xm:sqref>
        </x14:conditionalFormatting>
        <x14:conditionalFormatting xmlns:xm="http://schemas.microsoft.com/office/excel/2006/main">
          <x14:cfRule type="dataBar" priority="3118" id="{000C00CE-0002-4EBF-9AC2-006400C9001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F145:F148 F150 F152 F154 F157:F163</xm:sqref>
        </x14:conditionalFormatting>
        <x14:conditionalFormatting xmlns:xm="http://schemas.microsoft.com/office/excel/2006/main">
          <x14:cfRule type="dataBar" priority="3113" id="{001600A4-004A-4DF8-BC19-005C0045000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S145:S148 S150 S152 S154 S157:S167</xm:sqref>
        </x14:conditionalFormatting>
        <x14:conditionalFormatting xmlns:xm="http://schemas.microsoft.com/office/excel/2006/main">
          <x14:cfRule type="dataBar" priority="3108" id="{00350078-0081-4CD7-BD64-003600DF007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S148 S150 S152 S154 S157:S167</xm:sqref>
        </x14:conditionalFormatting>
        <x14:conditionalFormatting xmlns:xm="http://schemas.microsoft.com/office/excel/2006/main">
          <x14:cfRule type="dataBar" priority="3103" id="{00BF00E0-0040-49A9-9F75-008E002F00C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N148 N150 N152 N154 N157:N167</xm:sqref>
        </x14:conditionalFormatting>
        <x14:conditionalFormatting xmlns:xm="http://schemas.microsoft.com/office/excel/2006/main">
          <x14:cfRule type="dataBar" priority="3098" id="{004D00D5-002F-4E47-866E-00610045000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F150 F148 F152 F154 F157:F167</xm:sqref>
        </x14:conditionalFormatting>
        <x14:conditionalFormatting xmlns:xm="http://schemas.microsoft.com/office/excel/2006/main">
          <x14:cfRule type="dataBar" priority="3079" id="{00F10083-00E5-487C-9F69-004100320075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N148:N152 N154 N157:N167</xm:sqref>
        </x14:conditionalFormatting>
        <x14:conditionalFormatting xmlns:xm="http://schemas.microsoft.com/office/excel/2006/main">
          <x14:cfRule type="dataBar" priority="3070" id="{00FF00D1-00AB-483A-A21E-003200B900C4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S148:S152 S154 S157:S167</xm:sqref>
        </x14:conditionalFormatting>
        <x14:conditionalFormatting xmlns:xm="http://schemas.microsoft.com/office/excel/2006/main">
          <x14:cfRule type="dataBar" priority="3006" id="{00A90043-00E3-419F-9041-0002005F00D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N157:N167 N154</xm:sqref>
        </x14:conditionalFormatting>
        <x14:conditionalFormatting xmlns:xm="http://schemas.microsoft.com/office/excel/2006/main">
          <x14:cfRule type="dataBar" priority="3002" id="{004800BD-0047-4BD3-B715-007200A4002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F157:F167 F154</xm:sqref>
        </x14:conditionalFormatting>
        <x14:conditionalFormatting xmlns:xm="http://schemas.microsoft.com/office/excel/2006/main">
          <x14:cfRule type="dataBar" priority="2998" id="{00A800E7-0038-46E3-A00A-00B500FE007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S157:S167 S154</xm:sqref>
        </x14:conditionalFormatting>
        <x14:conditionalFormatting xmlns:xm="http://schemas.microsoft.com/office/excel/2006/main">
          <x14:cfRule type="dataBar" priority="2994" id="{009F002B-0015-40C4-8A38-0044001900F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N157:N165 N154</xm:sqref>
        </x14:conditionalFormatting>
        <x14:conditionalFormatting xmlns:xm="http://schemas.microsoft.com/office/excel/2006/main">
          <x14:cfRule type="dataBar" priority="2990" id="{003900BC-0065-4A11-8244-0022002E007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F157:F165 F154</xm:sqref>
        </x14:conditionalFormatting>
        <x14:conditionalFormatting xmlns:xm="http://schemas.microsoft.com/office/excel/2006/main">
          <x14:cfRule type="dataBar" priority="2986" id="{00EF0025-0065-4F76-B5CF-00A8002E000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S157:S165 S154</xm:sqref>
        </x14:conditionalFormatting>
        <x14:conditionalFormatting xmlns:xm="http://schemas.microsoft.com/office/excel/2006/main">
          <x14:cfRule type="dataBar" priority="2946" id="{000500EF-00CC-4713-86FE-00E500DB006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N157:N158 N154</xm:sqref>
        </x14:conditionalFormatting>
        <x14:conditionalFormatting xmlns:xm="http://schemas.microsoft.com/office/excel/2006/main">
          <x14:cfRule type="dataBar" priority="2942" id="{00BC0049-005C-4148-8750-0031003300E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F157:F158 F154</xm:sqref>
        </x14:conditionalFormatting>
        <x14:conditionalFormatting xmlns:xm="http://schemas.microsoft.com/office/excel/2006/main">
          <x14:cfRule type="dataBar" priority="2938" id="{00DB00D4-008C-42D1-875B-00CF006C008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S157:S158 S154</xm:sqref>
        </x14:conditionalFormatting>
        <x14:conditionalFormatting xmlns:xm="http://schemas.microsoft.com/office/excel/2006/main">
          <x14:cfRule type="dataBar" priority="2666" id="{00460020-00DD-40E2-8368-00B8007D00BA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N157:N167</xm:sqref>
        </x14:conditionalFormatting>
        <x14:conditionalFormatting xmlns:xm="http://schemas.microsoft.com/office/excel/2006/main">
          <x14:cfRule type="dataBar" priority="2597" id="{00B800D1-007C-46D2-9491-008D000500B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N157:N164 N154</xm:sqref>
        </x14:conditionalFormatting>
        <x14:conditionalFormatting xmlns:xm="http://schemas.microsoft.com/office/excel/2006/main">
          <x14:cfRule type="dataBar" priority="2594" id="{00E900B3-00AC-415E-A830-0062000200A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F157:F164 F154</xm:sqref>
        </x14:conditionalFormatting>
        <x14:conditionalFormatting xmlns:xm="http://schemas.microsoft.com/office/excel/2006/main">
          <x14:cfRule type="dataBar" priority="2591" id="{00C900C4-0059-4C0E-A4FC-00840082001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S157:S164 S154</xm:sqref>
        </x14:conditionalFormatting>
        <x14:conditionalFormatting xmlns:xm="http://schemas.microsoft.com/office/excel/2006/main">
          <x14:cfRule type="dataBar" priority="2588" id="{001200FE-0019-495A-B018-00F9007C00D6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N157:N163 N154</xm:sqref>
        </x14:conditionalFormatting>
        <x14:conditionalFormatting xmlns:xm="http://schemas.microsoft.com/office/excel/2006/main">
          <x14:cfRule type="dataBar" priority="2585" id="{00B600A9-00AF-4C07-9FF4-00DE008B001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F157:F163 F154</xm:sqref>
        </x14:conditionalFormatting>
        <x14:conditionalFormatting xmlns:xm="http://schemas.microsoft.com/office/excel/2006/main">
          <x14:cfRule type="dataBar" priority="2582" id="{00CF00F9-0060-41B7-A364-00AD000B00B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S157:S163 S154</xm:sqref>
        </x14:conditionalFormatting>
        <x14:conditionalFormatting xmlns:xm="http://schemas.microsoft.com/office/excel/2006/main">
          <x14:cfRule type="dataBar" priority="2579" id="{00AC00BA-007D-4FD6-9A8D-00B9007D00E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N157:N162 N154</xm:sqref>
        </x14:conditionalFormatting>
        <x14:conditionalFormatting xmlns:xm="http://schemas.microsoft.com/office/excel/2006/main">
          <x14:cfRule type="dataBar" priority="2576" id="{00EC0066-0063-41CD-BAA3-006500B400F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F157:F162 F154</xm:sqref>
        </x14:conditionalFormatting>
        <x14:conditionalFormatting xmlns:xm="http://schemas.microsoft.com/office/excel/2006/main">
          <x14:cfRule type="dataBar" priority="2573" id="{00A600AD-0086-41F4-8A0D-00DD004500E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S157:S162 S154</xm:sqref>
        </x14:conditionalFormatting>
        <x14:conditionalFormatting xmlns:xm="http://schemas.microsoft.com/office/excel/2006/main">
          <x14:cfRule type="dataBar" priority="2561" id="{009E0019-00AF-43BB-BE03-00B6005A009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 N157</xm:sqref>
        </x14:conditionalFormatting>
        <x14:conditionalFormatting xmlns:xm="http://schemas.microsoft.com/office/excel/2006/main">
          <x14:cfRule type="dataBar" priority="2558" id="{004900AF-004A-434F-80C2-008F00D2002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 F154</xm:sqref>
        </x14:conditionalFormatting>
        <x14:conditionalFormatting xmlns:xm="http://schemas.microsoft.com/office/excel/2006/main">
          <x14:cfRule type="dataBar" priority="2555" id="{006700B8-0004-4578-80C7-009D001400F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S157 S154</xm:sqref>
        </x14:conditionalFormatting>
        <x14:conditionalFormatting xmlns:xm="http://schemas.microsoft.com/office/excel/2006/main">
          <x14:cfRule type="dataBar" priority="1515" id="{00AE00E3-000A-421C-81AA-005D0095004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F4:F8 F10:F22</xm:sqref>
        </x14:conditionalFormatting>
        <x14:conditionalFormatting xmlns:xm="http://schemas.microsoft.com/office/excel/2006/main">
          <x14:cfRule type="dataBar" priority="1512" id="{007500BE-0010-4148-A884-00F70099006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N10:N22 N4:N8</xm:sqref>
        </x14:conditionalFormatting>
        <x14:conditionalFormatting xmlns:xm="http://schemas.microsoft.com/office/excel/2006/main">
          <x14:cfRule type="dataBar" priority="1371" id="{0095007B-0027-4397-9E51-0078004D00E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N18 N21 N15 N12 N25:N46 N111:N117 N6 N121:N128</xm:sqref>
        </x14:conditionalFormatting>
        <x14:conditionalFormatting xmlns:xm="http://schemas.microsoft.com/office/excel/2006/main">
          <x14:cfRule type="dataBar" priority="1362" id="{0066001B-0019-401D-86B9-00610019003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F18 F21 F15 F12 F46 F111:F117 F6 F25:F37 F121:F128</xm:sqref>
        </x14:conditionalFormatting>
        <x14:conditionalFormatting xmlns:xm="http://schemas.microsoft.com/office/excel/2006/main">
          <x14:cfRule type="dataBar" priority="1351" id="{00E80078-0087-4483-959B-00A3007800A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R25:R46 R111:R117 R121:R128</xm:sqref>
        </x14:conditionalFormatting>
        <x14:conditionalFormatting xmlns:xm="http://schemas.microsoft.com/office/excel/2006/main">
          <x14:cfRule type="dataBar" priority="1326" id="{006300DE-00C6-4A80-8DBF-00080070002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F38:F45</xm:sqref>
        </x14:conditionalFormatting>
        <x14:conditionalFormatting xmlns:xm="http://schemas.microsoft.com/office/excel/2006/main">
          <x14:cfRule type="dataBar" priority="1325" id="{00B90040-0010-4F7D-A56E-00950056001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</xm:sqref>
        </x14:conditionalFormatting>
        <x14:conditionalFormatting xmlns:xm="http://schemas.microsoft.com/office/excel/2006/main">
          <x14:cfRule type="dataBar" priority="1322" id="{006900AC-0088-43BA-8B1D-006D00A1002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R28:R45</xm:sqref>
        </x14:conditionalFormatting>
        <x14:conditionalFormatting xmlns:xm="http://schemas.microsoft.com/office/excel/2006/main">
          <x14:cfRule type="dataBar" priority="1318" id="{00F7006C-00AC-41D7-B762-00330050000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N49:N69</xm:sqref>
        </x14:conditionalFormatting>
        <x14:conditionalFormatting xmlns:xm="http://schemas.microsoft.com/office/excel/2006/main">
          <x14:cfRule type="dataBar" priority="1317" id="{004D00FF-003E-403A-B1CC-00600074001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F49:F61</xm:sqref>
        </x14:conditionalFormatting>
        <x14:conditionalFormatting xmlns:xm="http://schemas.microsoft.com/office/excel/2006/main">
          <x14:cfRule type="dataBar" priority="1316" id="{00CE00CB-0039-44A5-A638-00F80094009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R49:R69</xm:sqref>
        </x14:conditionalFormatting>
        <x14:conditionalFormatting xmlns:xm="http://schemas.microsoft.com/office/excel/2006/main">
          <x14:cfRule type="dataBar" priority="1315" id="{00C200FE-00C1-46C1-B874-0015003900D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F62:F69</xm:sqref>
        </x14:conditionalFormatting>
        <x14:conditionalFormatting xmlns:xm="http://schemas.microsoft.com/office/excel/2006/main">
          <x14:cfRule type="dataBar" priority="1314" id="{00F900E0-00B2-40DD-B64A-00460031001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F64</xm:sqref>
        </x14:conditionalFormatting>
        <x14:conditionalFormatting xmlns:xm="http://schemas.microsoft.com/office/excel/2006/main">
          <x14:cfRule type="dataBar" priority="1311" id="{001300AE-0095-4D7F-A82B-00960040002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310" id="{00BA009D-00F1-48DF-B8C9-002500A6002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N73:N93</xm:sqref>
        </x14:conditionalFormatting>
        <x14:conditionalFormatting xmlns:xm="http://schemas.microsoft.com/office/excel/2006/main">
          <x14:cfRule type="dataBar" priority="1309" id="{008500AE-004D-4274-B1C8-004F00B2002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F73:F85</xm:sqref>
        </x14:conditionalFormatting>
        <x14:conditionalFormatting xmlns:xm="http://schemas.microsoft.com/office/excel/2006/main">
          <x14:cfRule type="dataBar" priority="1308" id="{00CD0055-004E-4BA7-8EFB-006E00F4007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R73:R93</xm:sqref>
        </x14:conditionalFormatting>
        <x14:conditionalFormatting xmlns:xm="http://schemas.microsoft.com/office/excel/2006/main">
          <x14:cfRule type="dataBar" priority="1307" id="{00AB0021-00DC-4D81-B037-002E00EB008E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F86:F93</xm:sqref>
        </x14:conditionalFormatting>
        <x14:conditionalFormatting xmlns:xm="http://schemas.microsoft.com/office/excel/2006/main">
          <x14:cfRule type="dataBar" priority="1306" id="{0061001C-0017-4C37-8D18-007A0046008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F88</xm:sqref>
        </x14:conditionalFormatting>
        <x14:conditionalFormatting xmlns:xm="http://schemas.microsoft.com/office/excel/2006/main">
          <x14:cfRule type="dataBar" priority="1303" id="{003600C3-00FB-44B8-868D-004D006B00C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301" id="{000E0064-00E8-477F-88CF-0092003100E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R2:R8 R10:R21</xm:sqref>
        </x14:conditionalFormatting>
        <x14:conditionalFormatting xmlns:xm="http://schemas.microsoft.com/office/excel/2006/main">
          <x14:cfRule type="dataBar" priority="1300" id="{00F000FF-003C-486E-9FEA-001B009200D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F110:F117</xm:sqref>
        </x14:conditionalFormatting>
        <x14:conditionalFormatting xmlns:xm="http://schemas.microsoft.com/office/excel/2006/main">
          <x14:cfRule type="dataBar" priority="1299" id="{005B001C-006E-4D91-A072-00520079008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F112</xm:sqref>
        </x14:conditionalFormatting>
        <x14:conditionalFormatting xmlns:xm="http://schemas.microsoft.com/office/excel/2006/main">
          <x14:cfRule type="dataBar" priority="1296" id="{005300C8-005C-4C64-91AD-0099006900D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95" id="{0016001B-004E-4142-8283-00EA005A008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R97:R117</xm:sqref>
        </x14:conditionalFormatting>
        <x14:conditionalFormatting xmlns:xm="http://schemas.microsoft.com/office/excel/2006/main">
          <x14:cfRule type="dataBar" priority="1294" id="{00F6003E-006A-4173-A578-006A003700E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F97:F109</xm:sqref>
        </x14:conditionalFormatting>
        <x14:conditionalFormatting xmlns:xm="http://schemas.microsoft.com/office/excel/2006/main">
          <x14:cfRule type="dataBar" priority="1293" id="{00D900CF-00CD-4CFF-8705-00B1009100E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N97:N117</xm:sqref>
        </x14:conditionalFormatting>
        <x14:conditionalFormatting xmlns:xm="http://schemas.microsoft.com/office/excel/2006/main">
          <x14:cfRule type="dataBar" priority="1288" id="{005300ED-0032-48C5-A7C1-006A0068003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R28:R45</xm:sqref>
        </x14:conditionalFormatting>
        <x14:conditionalFormatting xmlns:xm="http://schemas.microsoft.com/office/excel/2006/main">
          <x14:cfRule type="dataBar" priority="1287" id="{000500E5-007C-4B25-B0A1-006000D7008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R28:R45</xm:sqref>
        </x14:conditionalFormatting>
        <x14:conditionalFormatting xmlns:xm="http://schemas.microsoft.com/office/excel/2006/main">
          <x14:cfRule type="dataBar" priority="1286" id="{009D001D-0092-4EBA-9208-0053005000B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285" id="{00D100FB-00E1-409B-B50E-001200CE002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284" id="{00250062-0058-4F98-8733-006B0066004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283" id="{00F1005B-00DA-433E-8A4F-00F500C2003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282" id="{00630082-0035-4440-A359-001800AE002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81" id="{00BF006F-0081-4B75-A003-00860094000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80" id="{006200A5-0030-4832-ACAF-00CE00DA00E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79" id="{009F0023-0013-4A75-B0A0-00B8009A00F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78" id="{00730065-0006-4470-B89A-0084003B00C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77" id="{005400CF-0080-486D-A44B-001100EB009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76" id="{00C100EF-007A-4ACE-995E-00D4009D005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5" id="{007B0029-0015-48BA-AE6F-00F200A7001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4" id="{004D0033-00E3-49B3-910C-007D00AD005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3" id="{001E0090-002B-44C4-8209-005C004400C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2" id="{00F30058-009A-43DE-831A-00AB006400C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1" id="{00B00076-00A5-4060-A1B2-007C004A004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70" id="{00A50052-00A4-45D7-BA2F-007100F4005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69" id="{00A300CC-0071-47DA-A538-00E100AF00E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68" id="{005200A7-0092-4411-BB60-003A007700D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R28:R45</xm:sqref>
        </x14:conditionalFormatting>
        <x14:conditionalFormatting xmlns:xm="http://schemas.microsoft.com/office/excel/2006/main">
          <x14:cfRule type="dataBar" priority="1266" id="{001B00ED-00C3-4CC9-9827-004D002300D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264" id="{00EC0034-0073-4D03-8704-0021005E00B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262" id="{005B00A0-0065-4D86-B3CE-00990015002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239" id="{004A003F-00B6-446D-B241-000F00DB00D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F44</xm:sqref>
        </x14:conditionalFormatting>
        <x14:conditionalFormatting xmlns:xm="http://schemas.microsoft.com/office/excel/2006/main">
          <x14:cfRule type="dataBar" priority="1238" id="{000700BE-0075-4D50-B6A7-0087008C00D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F35</xm:sqref>
        </x14:conditionalFormatting>
        <x14:conditionalFormatting xmlns:xm="http://schemas.microsoft.com/office/excel/2006/main">
          <x14:cfRule type="dataBar" priority="1237" id="{007500C2-00CA-4353-ACDE-009600DF00D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F35</xm:sqref>
        </x14:conditionalFormatting>
        <x14:conditionalFormatting xmlns:xm="http://schemas.microsoft.com/office/excel/2006/main">
          <x14:cfRule type="dataBar" priority="1236" id="{009E00C0-0013-45C1-8483-0072005C00D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N35</xm:sqref>
        </x14:conditionalFormatting>
        <x14:conditionalFormatting xmlns:xm="http://schemas.microsoft.com/office/excel/2006/main">
          <x14:cfRule type="dataBar" priority="1235" id="{006000A6-00CB-4686-8464-008B00D000E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R35</xm:sqref>
        </x14:conditionalFormatting>
        <x14:conditionalFormatting xmlns:xm="http://schemas.microsoft.com/office/excel/2006/main">
          <x14:cfRule type="dataBar" priority="1234" id="{007600AF-00C2-4FA2-8BDC-0003002D005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R35</xm:sqref>
        </x14:conditionalFormatting>
        <x14:conditionalFormatting xmlns:xm="http://schemas.microsoft.com/office/excel/2006/main">
          <x14:cfRule type="dataBar" priority="1233" id="{00EE006A-000F-4F0F-ADA7-004C004500A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R35</xm:sqref>
        </x14:conditionalFormatting>
        <x14:conditionalFormatting xmlns:xm="http://schemas.microsoft.com/office/excel/2006/main">
          <x14:cfRule type="dataBar" priority="1232" id="{00DD00CA-0013-41EF-8269-005300DC006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R35</xm:sqref>
        </x14:conditionalFormatting>
        <x14:conditionalFormatting xmlns:xm="http://schemas.microsoft.com/office/excel/2006/main">
          <x14:cfRule type="dataBar" priority="1231" id="{007800CA-00DF-4121-B8D6-0039005600E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R35</xm:sqref>
        </x14:conditionalFormatting>
        <x14:conditionalFormatting xmlns:xm="http://schemas.microsoft.com/office/excel/2006/main">
          <x14:cfRule type="dataBar" priority="1230" id="{00310025-00CF-4F90-A47C-002000CE000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F120:F122</xm:sqref>
        </x14:conditionalFormatting>
        <x14:conditionalFormatting xmlns:xm="http://schemas.microsoft.com/office/excel/2006/main">
          <x14:cfRule type="dataBar" priority="1229" id="{00EB0011-0090-4680-ACED-00260071001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F120</xm:sqref>
        </x14:conditionalFormatting>
        <x14:conditionalFormatting xmlns:xm="http://schemas.microsoft.com/office/excel/2006/main">
          <x14:cfRule type="dataBar" priority="1228" id="{005B0039-00E2-4177-BCC4-00180064006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F120:F122</xm:sqref>
        </x14:conditionalFormatting>
        <x14:conditionalFormatting xmlns:xm="http://schemas.microsoft.com/office/excel/2006/main">
          <x14:cfRule type="dataBar" priority="1227" id="{005E00D2-008F-4C51-9A98-00C50072003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N120:N122</xm:sqref>
        </x14:conditionalFormatting>
        <x14:conditionalFormatting xmlns:xm="http://schemas.microsoft.com/office/excel/2006/main">
          <x14:cfRule type="dataBar" priority="1226" id="{00D5001F-0032-4CC1-A495-000D00F2005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25" id="{0041000F-0009-4FD5-A275-00F8004500A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24" id="{0042003F-00D7-430A-84F9-009D0027006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N120:N122</xm:sqref>
        </x14:conditionalFormatting>
        <x14:conditionalFormatting xmlns:xm="http://schemas.microsoft.com/office/excel/2006/main">
          <x14:cfRule type="dataBar" priority="1223" id="{00F100F9-006E-4C94-91E3-009C0004004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22" id="{00DB00F6-00FE-4538-AB9A-00DF0006006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21" id="{00640059-000F-4DF7-B681-00FF00EE004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20" id="{00170083-0088-4BCE-B866-004800F7003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19" id="{00ED0012-00AB-478D-8226-00B2001F008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F41</xm:sqref>
        </x14:conditionalFormatting>
        <x14:conditionalFormatting xmlns:xm="http://schemas.microsoft.com/office/excel/2006/main">
          <x14:cfRule type="dataBar" priority="1218" id="{003200C5-0004-46EF-80F7-000E00F100B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F43:F45</xm:sqref>
        </x14:conditionalFormatting>
        <x14:conditionalFormatting xmlns:xm="http://schemas.microsoft.com/office/excel/2006/main">
          <x14:cfRule type="dataBar" priority="1217" id="{000A004D-00A3-46D3-BF09-004A00C400F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F43</xm:sqref>
        </x14:conditionalFormatting>
        <x14:conditionalFormatting xmlns:xm="http://schemas.microsoft.com/office/excel/2006/main">
          <x14:cfRule type="dataBar" priority="1216" id="{00AA0080-00CD-481D-8F84-004A0095009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F43:F45</xm:sqref>
        </x14:conditionalFormatting>
        <x14:conditionalFormatting xmlns:xm="http://schemas.microsoft.com/office/excel/2006/main">
          <x14:cfRule type="dataBar" priority="1215" id="{008F0066-00DC-42DE-B5ED-00CA003200E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N43:N45</xm:sqref>
        </x14:conditionalFormatting>
        <x14:conditionalFormatting xmlns:xm="http://schemas.microsoft.com/office/excel/2006/main">
          <x14:cfRule type="dataBar" priority="1214" id="{006A00EE-003E-4478-958A-0079007400C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13" id="{007600E0-00A0-43DC-AFBF-00530038000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12" id="{00E400FD-005F-40F8-9E26-00DF002A0036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N43:N45</xm:sqref>
        </x14:conditionalFormatting>
        <x14:conditionalFormatting xmlns:xm="http://schemas.microsoft.com/office/excel/2006/main">
          <x14:cfRule type="dataBar" priority="1211" id="{007200FF-00C4-4DA4-B9CD-005E00C8009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10" id="{00B8001C-001D-4DB6-9171-002E0078003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09" id="{004600A8-006E-4410-8E5C-008E006F005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08" id="{00770075-0097-4AE6-AE76-00990087009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R43:R45</xm:sqref>
        </x14:conditionalFormatting>
        <x14:conditionalFormatting xmlns:xm="http://schemas.microsoft.com/office/excel/2006/main">
          <x14:cfRule type="dataBar" priority="1207" id="{00D10075-00E6-4198-8883-00E700D3005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R120:R122</xm:sqref>
        </x14:conditionalFormatting>
        <x14:conditionalFormatting xmlns:xm="http://schemas.microsoft.com/office/excel/2006/main">
          <x14:cfRule type="dataBar" priority="1206" id="{001600CC-009E-48C1-AC71-008200A4005E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F120:F122</xm:sqref>
        </x14:conditionalFormatting>
        <x14:conditionalFormatting xmlns:xm="http://schemas.microsoft.com/office/excel/2006/main">
          <x14:cfRule type="dataBar" priority="1205" id="{00620064-00F0-4EC9-B087-0048005B000E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N120:N122</xm:sqref>
        </x14:conditionalFormatting>
        <x14:conditionalFormatting xmlns:xm="http://schemas.microsoft.com/office/excel/2006/main">
          <x14:cfRule type="dataBar" priority="1195" id="{00F300D4-0069-4594-B9BF-00F300FD0077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</xm:sqref>
        </x14:conditionalFormatting>
        <x14:conditionalFormatting xmlns:xm="http://schemas.microsoft.com/office/excel/2006/main">
          <x14:cfRule type="dataBar" priority="1194" id="{00FF00A5-006C-4CA1-8428-00F700BB003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F30</xm:sqref>
        </x14:conditionalFormatting>
        <x14:conditionalFormatting xmlns:xm="http://schemas.microsoft.com/office/excel/2006/main">
          <x14:cfRule type="dataBar" priority="1193" id="{00D400E8-00E0-44C6-9096-00130028001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F30</xm:sqref>
        </x14:conditionalFormatting>
        <x14:conditionalFormatting xmlns:xm="http://schemas.microsoft.com/office/excel/2006/main">
          <x14:cfRule type="dataBar" priority="1192" id="{00970067-0056-4020-B239-00F20030003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N30</xm:sqref>
        </x14:conditionalFormatting>
        <x14:conditionalFormatting xmlns:xm="http://schemas.microsoft.com/office/excel/2006/main">
          <x14:cfRule type="dataBar" priority="1191" id="{000000DC-00C8-41C3-92D3-00F4005A005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90" id="{00500025-007A-4C3F-AD71-00D400D3008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9" id="{0053003D-0009-4A18-A732-0021003800A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8" id="{00DA00F0-00BF-4686-8C4F-0058002F003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7" id="{003100DD-009E-45AD-988D-00C200E4001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6" id="{00CD0001-007B-4E2B-9045-005600B1007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F30</xm:sqref>
        </x14:conditionalFormatting>
        <x14:conditionalFormatting xmlns:xm="http://schemas.microsoft.com/office/excel/2006/main">
          <x14:cfRule type="dataBar" priority="1185" id="{00650020-0073-4E2C-ADEC-0036002200B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F30</xm:sqref>
        </x14:conditionalFormatting>
        <x14:conditionalFormatting xmlns:xm="http://schemas.microsoft.com/office/excel/2006/main">
          <x14:cfRule type="dataBar" priority="1184" id="{00500002-00AF-4437-B6D5-00BF007800A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F30</xm:sqref>
        </x14:conditionalFormatting>
        <x14:conditionalFormatting xmlns:xm="http://schemas.microsoft.com/office/excel/2006/main">
          <x14:cfRule type="dataBar" priority="1183" id="{00D50072-000A-4063-A833-002D00C5009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N30</xm:sqref>
        </x14:conditionalFormatting>
        <x14:conditionalFormatting xmlns:xm="http://schemas.microsoft.com/office/excel/2006/main">
          <x14:cfRule type="dataBar" priority="1182" id="{00F800B5-0087-4B44-B4EC-008600C800B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1" id="{0000003B-00E4-4A5E-85CB-00C400EB00A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80" id="{003D00E4-002B-42A9-B770-002900FA005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79" id="{00D80029-00F0-4F1C-91EB-007E001100F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78" id="{00DF00F5-0074-4736-B590-00BF00AF00B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R30</xm:sqref>
        </x14:conditionalFormatting>
        <x14:conditionalFormatting xmlns:xm="http://schemas.microsoft.com/office/excel/2006/main">
          <x14:cfRule type="dataBar" priority="1170" id="{00FA00BE-00F0-429E-884D-00B500B9005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69" id="{000300D1-0072-4212-9B2A-008E00E700E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68" id="{00F90077-0080-4940-A722-0057004F008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N37</xm:sqref>
        </x14:conditionalFormatting>
        <x14:conditionalFormatting xmlns:xm="http://schemas.microsoft.com/office/excel/2006/main">
          <x14:cfRule type="dataBar" priority="1167" id="{000B0044-00EB-44AB-A293-00F60037002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66" id="{00D3003D-0086-45E9-A492-00C800F900A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65" id="{00C00083-0038-453D-9358-006700CB006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64" id="{008900C0-00D7-4D5A-82C6-006000DA008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63" id="{004600C5-0032-4CA1-BB38-00EE00B6000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62" id="{008100E9-00C5-4714-BC1C-0088008D002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61" id="{000F008E-0084-4488-8573-00010050009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60" id="{00D40041-0097-48C5-8A11-00D700EE005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59" id="{008E0035-0053-4D62-B9CA-008E002F004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N37</xm:sqref>
        </x14:conditionalFormatting>
        <x14:conditionalFormatting xmlns:xm="http://schemas.microsoft.com/office/excel/2006/main">
          <x14:cfRule type="dataBar" priority="1158" id="{00140076-008C-4383-9616-00A300BE00E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7" id="{005A0074-006F-48FC-A524-00E1007700D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6" id="{003000F7-0054-49E2-BACF-0013004B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5" id="{00B80074-0055-40D8-A8AC-00200085008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4" id="{008000AB-0023-40A4-8879-00AD0017001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3" id="{005900F1-0059-4DFC-8271-00E5008C009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F37</xm:sqref>
        </x14:conditionalFormatting>
        <x14:conditionalFormatting xmlns:xm="http://schemas.microsoft.com/office/excel/2006/main">
          <x14:cfRule type="dataBar" priority="1152" id="{00DC00B7-0073-4E58-A700-007C000400A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N37</xm:sqref>
        </x14:conditionalFormatting>
        <x14:conditionalFormatting xmlns:xm="http://schemas.microsoft.com/office/excel/2006/main">
          <x14:cfRule type="dataBar" priority="1151" id="{00400089-0036-472C-A0D9-00C200D700F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50" id="{00F30072-0082-4359-850A-00D70036004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49" id="{00540064-007B-40B0-854B-008A0057000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48" id="{004C00B4-0092-4054-A939-00DB00E0007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47" id="{00FB00D5-00A6-4EAD-9EEA-001D0076006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R37</xm:sqref>
        </x14:conditionalFormatting>
        <x14:conditionalFormatting xmlns:xm="http://schemas.microsoft.com/office/excel/2006/main">
          <x14:cfRule type="dataBar" priority="1146" id="{003D0028-005F-442E-8A58-00ED00AC00D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F121:F123</xm:sqref>
        </x14:conditionalFormatting>
        <x14:conditionalFormatting xmlns:xm="http://schemas.microsoft.com/office/excel/2006/main">
          <x14:cfRule type="dataBar" priority="1145" id="{00AC00BC-00AB-422D-BBE0-004700B200B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F121:F123</xm:sqref>
        </x14:conditionalFormatting>
        <x14:conditionalFormatting xmlns:xm="http://schemas.microsoft.com/office/excel/2006/main">
          <x14:cfRule type="dataBar" priority="1144" id="{0092002C-0038-4229-B6A8-00840097008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N121:N123</xm:sqref>
        </x14:conditionalFormatting>
        <x14:conditionalFormatting xmlns:xm="http://schemas.microsoft.com/office/excel/2006/main">
          <x14:cfRule type="dataBar" priority="1143" id="{00CB0056-00FD-41EF-8797-0027004900A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42" id="{005A0015-0029-4EA3-9A8F-0000004300A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41" id="{009400B5-007D-4608-A241-00C1005C00D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40" id="{002000CF-00A0-4071-9380-00740039001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39" id="{009D00A5-00D2-41F4-BDB0-007B00F700E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38" id="{00AA0012-008A-49CE-80BF-007500A5001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F122</xm:sqref>
        </x14:conditionalFormatting>
        <x14:conditionalFormatting xmlns:xm="http://schemas.microsoft.com/office/excel/2006/main">
          <x14:cfRule type="dataBar" priority="1137" id="{00660083-0068-4B51-9A68-00B300D400E7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F121:F123</xm:sqref>
        </x14:conditionalFormatting>
        <x14:conditionalFormatting xmlns:xm="http://schemas.microsoft.com/office/excel/2006/main">
          <x14:cfRule type="dataBar" priority="1136" id="{00810033-0073-4997-B8F3-00A300F700A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F121</xm:sqref>
        </x14:conditionalFormatting>
        <x14:conditionalFormatting xmlns:xm="http://schemas.microsoft.com/office/excel/2006/main">
          <x14:cfRule type="dataBar" priority="1135" id="{009600FB-0000-4081-8BE4-005B00AF006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F121:F123</xm:sqref>
        </x14:conditionalFormatting>
        <x14:conditionalFormatting xmlns:xm="http://schemas.microsoft.com/office/excel/2006/main">
          <x14:cfRule type="dataBar" priority="1134" id="{00E2001E-0061-45FB-BFF2-004F007100A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N121:N123</xm:sqref>
        </x14:conditionalFormatting>
        <x14:conditionalFormatting xmlns:xm="http://schemas.microsoft.com/office/excel/2006/main">
          <x14:cfRule type="dataBar" priority="1133" id="{00DB00ED-0054-4F39-8C0C-00D100D1003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32" id="{006D0064-0022-4B03-998F-00EF0090004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31" id="{006500E9-00C7-4FBF-8B8C-00CB00BF00D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N121:N123</xm:sqref>
        </x14:conditionalFormatting>
        <x14:conditionalFormatting xmlns:xm="http://schemas.microsoft.com/office/excel/2006/main">
          <x14:cfRule type="dataBar" priority="1130" id="{00CF0016-00F7-4099-8E56-00D90038003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29" id="{008700DD-0043-4D3C-B291-005600E700C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28" id="{00C00044-00CF-46EE-89E6-006A00CC00D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27" id="{000F00B3-00FB-4ED7-B8FF-00120010008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R121:R123</xm:sqref>
        </x14:conditionalFormatting>
        <x14:conditionalFormatting xmlns:xm="http://schemas.microsoft.com/office/excel/2006/main">
          <x14:cfRule type="dataBar" priority="1126" id="{004B009C-0058-4A83-AF8C-0042008C003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F43</xm:sqref>
        </x14:conditionalFormatting>
        <x14:conditionalFormatting xmlns:xm="http://schemas.microsoft.com/office/excel/2006/main">
          <x14:cfRule type="dataBar" priority="1125" id="{00080003-0029-4335-A4F4-004C00F2004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F44</xm:sqref>
        </x14:conditionalFormatting>
        <x14:conditionalFormatting xmlns:xm="http://schemas.microsoft.com/office/excel/2006/main">
          <x14:cfRule type="dataBar" priority="1124" id="{00CB00A4-0024-413D-A64E-00DF006E00F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F43</xm:sqref>
        </x14:conditionalFormatting>
        <x14:conditionalFormatting xmlns:xm="http://schemas.microsoft.com/office/excel/2006/main">
          <x14:cfRule type="dataBar" priority="1123" id="{00E5001A-00CC-41B2-AF60-001900B6003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F42</xm:sqref>
        </x14:conditionalFormatting>
        <x14:conditionalFormatting xmlns:xm="http://schemas.microsoft.com/office/excel/2006/main">
          <x14:cfRule type="dataBar" priority="1122" id="{00F50026-004E-46B5-9157-00B2005C005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F40:F41</xm:sqref>
        </x14:conditionalFormatting>
        <x14:conditionalFormatting xmlns:xm="http://schemas.microsoft.com/office/excel/2006/main">
          <x14:cfRule type="dataBar" priority="1121" id="{0092007E-0074-409C-90AB-00710073004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F40:F41</xm:sqref>
        </x14:conditionalFormatting>
        <x14:conditionalFormatting xmlns:xm="http://schemas.microsoft.com/office/excel/2006/main">
          <x14:cfRule type="dataBar" priority="1120" id="{00B500EB-001A-4381-8E56-0076005D00E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N40:N41</xm:sqref>
        </x14:conditionalFormatting>
        <x14:conditionalFormatting xmlns:xm="http://schemas.microsoft.com/office/excel/2006/main">
          <x14:cfRule type="dataBar" priority="1119" id="{00290068-00DA-4ED1-9226-00C0000400D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8" id="{00A900E1-002B-4069-B8F5-0005001A003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7" id="{00A900CD-009D-43C6-A935-001F0052009E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N40:N41</xm:sqref>
        </x14:conditionalFormatting>
        <x14:conditionalFormatting xmlns:xm="http://schemas.microsoft.com/office/excel/2006/main">
          <x14:cfRule type="dataBar" priority="1116" id="{002D0031-00B3-495D-8184-00C8004300F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5" id="{000300B2-0018-44CC-8C7F-00B000F200B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4" id="{00810045-00D0-42E3-9B96-00EF00B7003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3" id="{00FB0092-0089-4801-9634-00BC0064002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2" id="{00C60057-00A9-4D0E-962D-0077005A00C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R40:R41</xm:sqref>
        </x14:conditionalFormatting>
        <x14:conditionalFormatting xmlns:xm="http://schemas.microsoft.com/office/excel/2006/main">
          <x14:cfRule type="dataBar" priority="1111" id="{0051006B-0001-4F1F-8611-004F0007009B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F40:F41</xm:sqref>
        </x14:conditionalFormatting>
        <x14:conditionalFormatting xmlns:xm="http://schemas.microsoft.com/office/excel/2006/main">
          <x14:cfRule type="dataBar" priority="1110" id="{004D001D-0032-4D2B-839E-00ED005A00B9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N40:N41</xm:sqref>
        </x14:conditionalFormatting>
        <x14:conditionalFormatting xmlns:xm="http://schemas.microsoft.com/office/excel/2006/main">
          <x14:cfRule type="dataBar" priority="1109" id="{00300092-00C8-4063-B03C-003600DA009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F40:F42</xm:sqref>
        </x14:conditionalFormatting>
        <x14:conditionalFormatting xmlns:xm="http://schemas.microsoft.com/office/excel/2006/main">
          <x14:cfRule type="dataBar" priority="1108" id="{004E00F7-00B0-42B3-BB79-0059000A002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F40:F42</xm:sqref>
        </x14:conditionalFormatting>
        <x14:conditionalFormatting xmlns:xm="http://schemas.microsoft.com/office/excel/2006/main">
          <x14:cfRule type="dataBar" priority="1107" id="{00000028-0020-4F47-9988-00B5004600B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N40:N42</xm:sqref>
        </x14:conditionalFormatting>
        <x14:conditionalFormatting xmlns:xm="http://schemas.microsoft.com/office/excel/2006/main">
          <x14:cfRule type="dataBar" priority="1106" id="{00DD00F3-00BA-4A47-9F9A-009C0015007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105" id="{00150027-0006-43F2-86CC-0074002A009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104" id="{00E90011-003D-4A31-814D-00460081001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103" id="{006200CB-00E7-45E7-B85D-00BF00C7008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102" id="{00B60020-00FC-4F22-916D-0008006800F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101" id="{00AB002E-00D5-409B-B2C5-00AD0094002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F41</xm:sqref>
        </x14:conditionalFormatting>
        <x14:conditionalFormatting xmlns:xm="http://schemas.microsoft.com/office/excel/2006/main">
          <x14:cfRule type="dataBar" priority="1100" id="{00350070-0080-4AB2-BB0C-006F0074005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F40:F42</xm:sqref>
        </x14:conditionalFormatting>
        <x14:conditionalFormatting xmlns:xm="http://schemas.microsoft.com/office/excel/2006/main">
          <x14:cfRule type="dataBar" priority="1099" id="{00140091-00CC-4A17-A4EF-000000300047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F40</xm:sqref>
        </x14:conditionalFormatting>
        <x14:conditionalFormatting xmlns:xm="http://schemas.microsoft.com/office/excel/2006/main">
          <x14:cfRule type="dataBar" priority="1098" id="{00BC000C-0078-4D96-9CAC-0057009A003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F40:F42</xm:sqref>
        </x14:conditionalFormatting>
        <x14:conditionalFormatting xmlns:xm="http://schemas.microsoft.com/office/excel/2006/main">
          <x14:cfRule type="dataBar" priority="1097" id="{00E40053-0002-4F8E-8EF6-00D400B9000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N40:N42</xm:sqref>
        </x14:conditionalFormatting>
        <x14:conditionalFormatting xmlns:xm="http://schemas.microsoft.com/office/excel/2006/main">
          <x14:cfRule type="dataBar" priority="1096" id="{008A005E-00DC-4C42-9D26-006C00C2007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95" id="{005F0038-004A-4B2B-91F1-00B9005F000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94" id="{00140036-00C1-4607-9387-00B5008F00E4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N40:N42</xm:sqref>
        </x14:conditionalFormatting>
        <x14:conditionalFormatting xmlns:xm="http://schemas.microsoft.com/office/excel/2006/main">
          <x14:cfRule type="dataBar" priority="1093" id="{008400ED-000E-420D-AE5B-00BB000B007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92" id="{0042009D-000C-4B36-98E1-00AD005900D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91" id="{008500F5-009E-48A0-B8AF-00660056006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90" id="{00E50049-0036-4A6B-9883-00FF00AA002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R40:R42</xm:sqref>
        </x14:conditionalFormatting>
        <x14:conditionalFormatting xmlns:xm="http://schemas.microsoft.com/office/excel/2006/main">
          <x14:cfRule type="dataBar" priority="1089" id="{00E400D3-00DC-4913-AA8F-00EE0005004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F28:F45</xm:sqref>
        </x14:conditionalFormatting>
        <x14:conditionalFormatting xmlns:xm="http://schemas.microsoft.com/office/excel/2006/main">
          <x14:cfRule type="dataBar" priority="1086" id="{00F700AE-0094-4A8C-B341-00F70080003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F52:F69</xm:sqref>
        </x14:conditionalFormatting>
        <x14:conditionalFormatting xmlns:xm="http://schemas.microsoft.com/office/excel/2006/main">
          <x14:cfRule type="dataBar" priority="1085" id="{00E1000F-0082-47B3-B350-008D001400E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F76:F93</xm:sqref>
        </x14:conditionalFormatting>
        <x14:conditionalFormatting xmlns:xm="http://schemas.microsoft.com/office/excel/2006/main">
          <x14:cfRule type="dataBar" priority="1081" id="{0086007D-0060-4C45-8DC9-0016000F002C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N10:N21 N4:N8</xm:sqref>
        </x14:conditionalFormatting>
        <x14:conditionalFormatting xmlns:xm="http://schemas.microsoft.com/office/excel/2006/main">
          <x14:cfRule type="dataBar" priority="1080" id="{007D005C-00A7-4047-9035-00D4006B006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F4:F8 F10:F21</xm:sqref>
        </x14:conditionalFormatting>
        <x14:conditionalFormatting xmlns:xm="http://schemas.microsoft.com/office/excel/2006/main">
          <x14:cfRule type="dataBar" priority="1079" id="{00D100AC-0096-47E7-B1C3-00E80053002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N28:N45</xm:sqref>
        </x14:conditionalFormatting>
        <x14:conditionalFormatting xmlns:xm="http://schemas.microsoft.com/office/excel/2006/main">
          <x14:cfRule type="dataBar" priority="1078" id="{00E8003F-006B-47BC-95B3-005C003900AB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N52:N69</xm:sqref>
        </x14:conditionalFormatting>
        <x14:conditionalFormatting xmlns:xm="http://schemas.microsoft.com/office/excel/2006/main">
          <x14:cfRule type="dataBar" priority="1077" id="{001A0045-00FD-4CB5-98A8-00800055007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N76:N93</xm:sqref>
        </x14:conditionalFormatting>
        <x14:conditionalFormatting xmlns:xm="http://schemas.microsoft.com/office/excel/2006/main">
          <x14:cfRule type="dataBar" priority="1076" id="{00E9002D-00EF-46C1-96EE-0093001A006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N100:N117</xm:sqref>
        </x14:conditionalFormatting>
        <x14:conditionalFormatting xmlns:xm="http://schemas.microsoft.com/office/excel/2006/main">
          <x14:cfRule type="dataBar" priority="1075" id="{005700FC-004A-4DAC-96D8-009E0015004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R4:R8 R10:R21</xm:sqref>
        </x14:conditionalFormatting>
        <x14:conditionalFormatting xmlns:xm="http://schemas.microsoft.com/office/excel/2006/main">
          <x14:cfRule type="dataBar" priority="1074" id="{003E0028-00F4-4BC3-92EE-00B50058008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R28:R45</xm:sqref>
        </x14:conditionalFormatting>
        <x14:conditionalFormatting xmlns:xm="http://schemas.microsoft.com/office/excel/2006/main">
          <x14:cfRule type="dataBar" priority="1073" id="{000D0019-0043-44A5-9194-00FD00A8004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R52:R69</xm:sqref>
        </x14:conditionalFormatting>
        <x14:conditionalFormatting xmlns:xm="http://schemas.microsoft.com/office/excel/2006/main">
          <x14:cfRule type="dataBar" priority="1072" id="{00DF0008-00EA-419C-88DB-00BD00AC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R76:R93</xm:sqref>
        </x14:conditionalFormatting>
        <x14:conditionalFormatting xmlns:xm="http://schemas.microsoft.com/office/excel/2006/main">
          <x14:cfRule type="dataBar" priority="1071" id="{00730003-0005-45F0-B08E-000900A6000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R100:R117</xm:sqref>
        </x14:conditionalFormatting>
        <x14:conditionalFormatting xmlns:xm="http://schemas.microsoft.com/office/excel/2006/main">
          <x14:cfRule type="dataBar" priority="1010" id="{00F5005F-00DB-43AC-82BB-00B300B8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R135:R141</xm:sqref>
        </x14:conditionalFormatting>
        <x14:conditionalFormatting xmlns:xm="http://schemas.microsoft.com/office/excel/2006/main">
          <x14:cfRule type="dataBar" priority="1009" id="{00FC0035-000E-439F-AF80-00F4005C008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F135:F141</xm:sqref>
        </x14:conditionalFormatting>
        <x14:conditionalFormatting xmlns:xm="http://schemas.microsoft.com/office/excel/2006/main">
          <x14:cfRule type="dataBar" priority="1008" id="{00DD0035-0023-48DD-806B-001B00F300B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N135:N141</xm:sqref>
        </x14:conditionalFormatting>
        <x14:conditionalFormatting xmlns:xm="http://schemas.microsoft.com/office/excel/2006/main">
          <x14:cfRule type="dataBar" priority="1007" id="{00A2002C-008C-4844-B803-0089003F00C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F134:F141</xm:sqref>
        </x14:conditionalFormatting>
        <x14:conditionalFormatting xmlns:xm="http://schemas.microsoft.com/office/excel/2006/main">
          <x14:cfRule type="dataBar" priority="1006" id="{003D00E6-0022-47BA-82BE-00C300DF004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F136</xm:sqref>
        </x14:conditionalFormatting>
        <x14:conditionalFormatting xmlns:xm="http://schemas.microsoft.com/office/excel/2006/main">
          <x14:cfRule type="dataBar" priority="1004" id="{00A3001A-009B-4BE8-9866-006500DA007E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N124:N141</xm:sqref>
        </x14:conditionalFormatting>
        <x14:conditionalFormatting xmlns:xm="http://schemas.microsoft.com/office/excel/2006/main">
          <x14:cfRule type="dataBar" priority="1003" id="{00210049-002F-4858-B3C1-00F90035008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1002" id="{00A30054-0007-485F-991C-00DA00D2006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R121:R141</xm:sqref>
        </x14:conditionalFormatting>
        <x14:conditionalFormatting xmlns:xm="http://schemas.microsoft.com/office/excel/2006/main">
          <x14:cfRule type="dataBar" priority="1001" id="{00B800DE-007A-4039-B0E3-0094001700E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F121:F133</xm:sqref>
        </x14:conditionalFormatting>
        <x14:conditionalFormatting xmlns:xm="http://schemas.microsoft.com/office/excel/2006/main">
          <x14:cfRule type="dataBar" priority="1000" id="{006D00E0-00F0-47DF-82F1-00D600440054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N121:N141</xm:sqref>
        </x14:conditionalFormatting>
        <x14:conditionalFormatting xmlns:xm="http://schemas.microsoft.com/office/excel/2006/main">
          <x14:cfRule type="dataBar" priority="999" id="{007600A0-0021-4A08-9EC3-00D800D9002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8" id="{006800F6-007D-4D81-A38F-0029007A00F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7" id="{00590086-00E7-4E04-AF19-0009008A009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6" id="{00730077-0076-4F4D-AA6D-0096005C002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5" id="{006500CE-0091-4A71-B495-00F10050004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4" id="{000A00F5-00AF-4375-AA2B-00B800F7000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3" id="{00110097-005F-46E6-B28C-00D800FE003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2" id="{00F2007B-0093-44A3-A42D-001C002D00B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1" id="{000A00BA-0019-44FE-8C56-004A006D00E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90" id="{005B008F-008D-4422-AEA0-00980073001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R124:R141</xm:sqref>
        </x14:conditionalFormatting>
        <x14:conditionalFormatting xmlns:xm="http://schemas.microsoft.com/office/excel/2006/main">
          <x14:cfRule type="dataBar" priority="989" id="{00820083-0030-48C7-9333-00990068008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T4:T8 T10:T21</xm:sqref>
        </x14:conditionalFormatting>
        <x14:conditionalFormatting xmlns:xm="http://schemas.microsoft.com/office/excel/2006/main">
          <x14:cfRule type="dataBar" priority="987" id="{001600F3-0006-4133-8412-008B009F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T28:T45</xm:sqref>
        </x14:conditionalFormatting>
        <x14:conditionalFormatting xmlns:xm="http://schemas.microsoft.com/office/excel/2006/main">
          <x14:cfRule type="dataBar" priority="985" id="{0067007C-0026-4A56-AA7C-006B003D007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T52:T69</xm:sqref>
        </x14:conditionalFormatting>
        <x14:conditionalFormatting xmlns:xm="http://schemas.microsoft.com/office/excel/2006/main">
          <x14:cfRule type="dataBar" priority="983" id="{002E0016-007C-41A2-B25E-00EC0014009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T76:T93</xm:sqref>
        </x14:conditionalFormatting>
        <x14:conditionalFormatting xmlns:xm="http://schemas.microsoft.com/office/excel/2006/main">
          <x14:cfRule type="dataBar" priority="981" id="{003E002D-0023-48E0-83A1-00A000B000E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T100:T117</xm:sqref>
        </x14:conditionalFormatting>
        <x14:conditionalFormatting xmlns:xm="http://schemas.microsoft.com/office/excel/2006/main">
          <x14:cfRule type="dataBar" priority="979" id="{0032000C-0031-46BF-ACE9-003E00B800C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T124:T141</xm:sqref>
        </x14:conditionalFormatting>
        <x14:conditionalFormatting xmlns:xm="http://schemas.microsoft.com/office/excel/2006/main">
          <x14:cfRule type="dataBar" priority="972" id="{0037002C-0021-4C9E-9427-00A40078006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T4:T8 T10:T21</xm:sqref>
        </x14:conditionalFormatting>
        <x14:conditionalFormatting xmlns:xm="http://schemas.microsoft.com/office/excel/2006/main">
          <x14:cfRule type="dataBar" priority="971" id="{00790005-0008-4B95-835E-00F20019003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T124:T141 T100:T117 T76:T93 T52:T69 T28:T45 T4:T8 T10:T21</xm:sqref>
        </x14:conditionalFormatting>
        <x14:conditionalFormatting xmlns:xm="http://schemas.microsoft.com/office/excel/2006/main">
          <x14:cfRule type="dataBar" priority="968" id="{008C00D7-0051-4DC9-BEB4-002400A500B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F100:F117</xm:sqref>
        </x14:conditionalFormatting>
        <x14:conditionalFormatting xmlns:xm="http://schemas.microsoft.com/office/excel/2006/main">
          <x14:cfRule type="dataBar" priority="967" id="{00B600FB-008E-4E47-99D3-00820015000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F124:F141</xm:sqref>
        </x14:conditionalFormatting>
        <x14:conditionalFormatting xmlns:xm="http://schemas.microsoft.com/office/excel/2006/main">
          <x14:cfRule type="dataBar" priority="966" id="{00F600DB-00A8-46C1-A09A-007B00A0000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N9</xm:sqref>
        </x14:conditionalFormatting>
        <x14:conditionalFormatting xmlns:xm="http://schemas.microsoft.com/office/excel/2006/main">
          <x14:cfRule type="dataBar" priority="965" id="{008E00CF-00D3-4FD6-9E15-00CE00CD00C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F9</xm:sqref>
        </x14:conditionalFormatting>
        <x14:conditionalFormatting xmlns:xm="http://schemas.microsoft.com/office/excel/2006/main">
          <x14:cfRule type="dataBar" priority="964" id="{004E00CE-00FE-4F44-8D2A-002700F3007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R9</xm:sqref>
        </x14:conditionalFormatting>
        <x14:conditionalFormatting xmlns:xm="http://schemas.microsoft.com/office/excel/2006/main">
          <x14:cfRule type="dataBar" priority="963" id="{00E50011-0013-4ADE-9138-00170050001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R9</xm:sqref>
        </x14:conditionalFormatting>
        <x14:conditionalFormatting xmlns:xm="http://schemas.microsoft.com/office/excel/2006/main">
          <x14:cfRule type="dataBar" priority="962" id="{00F5006A-0065-4D34-87B2-0089008C00B3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N9</xm:sqref>
        </x14:conditionalFormatting>
        <x14:conditionalFormatting xmlns:xm="http://schemas.microsoft.com/office/excel/2006/main">
          <x14:cfRule type="dataBar" priority="961" id="{00850097-001A-470C-AFAE-004B00380032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F9</xm:sqref>
        </x14:conditionalFormatting>
        <x14:conditionalFormatting xmlns:xm="http://schemas.microsoft.com/office/excel/2006/main">
          <x14:cfRule type="dataBar" priority="960" id="{00D100A0-0095-4ABD-81FA-00C700BE000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T9</xm:sqref>
        </x14:conditionalFormatting>
        <x14:conditionalFormatting xmlns:xm="http://schemas.microsoft.com/office/excel/2006/main">
          <x14:cfRule type="dataBar" priority="959" id="{007E00A8-003D-4ECB-87BC-002C00B800E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T9</xm:sqref>
        </x14:conditionalFormatting>
        <x14:conditionalFormatting xmlns:xm="http://schemas.microsoft.com/office/excel/2006/main">
          <x14:cfRule type="dataBar" priority="958" id="{00C900F3-005C-4197-BEB0-00F2003200C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T9</xm:sqref>
        </x14:conditionalFormatting>
        <x14:conditionalFormatting xmlns:xm="http://schemas.microsoft.com/office/excel/2006/main">
          <x14:cfRule type="dataBar" priority="957" id="{00670026-0069-4859-BA00-00D2003F009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F8</xm:sqref>
        </x14:conditionalFormatting>
        <x14:conditionalFormatting xmlns:xm="http://schemas.microsoft.com/office/excel/2006/main">
          <x14:cfRule type="dataBar" priority="956" id="{006700B5-0059-4082-9F50-00B900ED0027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N8</xm:sqref>
        </x14:conditionalFormatting>
        <x14:conditionalFormatting xmlns:xm="http://schemas.microsoft.com/office/excel/2006/main">
          <x14:cfRule type="dataBar" priority="955" id="{00E8005A-00D3-471E-8860-002A00E10011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F4:F21</xm:sqref>
        </x14:conditionalFormatting>
        <x14:conditionalFormatting xmlns:xm="http://schemas.microsoft.com/office/excel/2006/main">
          <x14:cfRule type="dataBar" priority="954" id="{003E0065-00D9-49A9-877E-00E6004C000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U4:U21</xm:sqref>
        </x14:conditionalFormatting>
        <x14:conditionalFormatting xmlns:xm="http://schemas.microsoft.com/office/excel/2006/main">
          <x14:cfRule type="dataBar" priority="953" id="{00C800D9-0005-49A0-AE07-00DF0037001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U4:U21</xm:sqref>
        </x14:conditionalFormatting>
        <x14:conditionalFormatting xmlns:xm="http://schemas.microsoft.com/office/excel/2006/main">
          <x14:cfRule type="dataBar" priority="951" id="{00FD00DB-0062-40EB-9489-00AC009200F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U9</xm:sqref>
        </x14:conditionalFormatting>
        <x14:conditionalFormatting xmlns:xm="http://schemas.microsoft.com/office/excel/2006/main">
          <x14:cfRule type="dataBar" priority="950" id="{00DD004A-0034-40D8-A924-00D90005004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U9</xm:sqref>
        </x14:conditionalFormatting>
        <x14:conditionalFormatting xmlns:xm="http://schemas.microsoft.com/office/excel/2006/main">
          <x14:cfRule type="dataBar" priority="949" id="{00220067-00DF-4109-81BB-00790030008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U9</xm:sqref>
        </x14:conditionalFormatting>
        <x14:conditionalFormatting xmlns:xm="http://schemas.microsoft.com/office/excel/2006/main">
          <x14:cfRule type="dataBar" priority="948" id="{003D007F-006D-444B-9B65-00940046001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U4:U21</xm:sqref>
        </x14:conditionalFormatting>
        <x14:conditionalFormatting xmlns:xm="http://schemas.microsoft.com/office/excel/2006/main">
          <x14:cfRule type="dataBar" priority="947" id="{00D100E7-008C-4D8D-B890-00B1002B00F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U28:U45</xm:sqref>
        </x14:conditionalFormatting>
        <x14:conditionalFormatting xmlns:xm="http://schemas.microsoft.com/office/excel/2006/main">
          <x14:cfRule type="dataBar" priority="946" id="{00750048-007D-42F5-A363-003300C1009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U28:U45</xm:sqref>
        </x14:conditionalFormatting>
        <x14:conditionalFormatting xmlns:xm="http://schemas.microsoft.com/office/excel/2006/main">
          <x14:cfRule type="dataBar" priority="944" id="{00B700D8-0006-48A0-A1E9-009F00C100A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U33</xm:sqref>
        </x14:conditionalFormatting>
        <x14:conditionalFormatting xmlns:xm="http://schemas.microsoft.com/office/excel/2006/main">
          <x14:cfRule type="dataBar" priority="943" id="{00D800D6-00ED-45D9-A8C7-006E006C004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U33</xm:sqref>
        </x14:conditionalFormatting>
        <x14:conditionalFormatting xmlns:xm="http://schemas.microsoft.com/office/excel/2006/main">
          <x14:cfRule type="dataBar" priority="942" id="{00A60077-00AA-4714-8239-00C30087001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U33</xm:sqref>
        </x14:conditionalFormatting>
        <x14:conditionalFormatting xmlns:xm="http://schemas.microsoft.com/office/excel/2006/main">
          <x14:cfRule type="dataBar" priority="941" id="{00D400D6-0058-4927-8006-001000AA006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U52:U69</xm:sqref>
        </x14:conditionalFormatting>
        <x14:conditionalFormatting xmlns:xm="http://schemas.microsoft.com/office/excel/2006/main">
          <x14:cfRule type="dataBar" priority="940" id="{00C80071-0063-467B-8C02-008A0075001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U52:U69</xm:sqref>
        </x14:conditionalFormatting>
        <x14:conditionalFormatting xmlns:xm="http://schemas.microsoft.com/office/excel/2006/main">
          <x14:cfRule type="dataBar" priority="938" id="{00E50081-0037-48CC-A07D-006100DF00C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U57</xm:sqref>
        </x14:conditionalFormatting>
        <x14:conditionalFormatting xmlns:xm="http://schemas.microsoft.com/office/excel/2006/main">
          <x14:cfRule type="dataBar" priority="937" id="{005A0078-0002-46EF-B7C9-008B004400B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U57</xm:sqref>
        </x14:conditionalFormatting>
        <x14:conditionalFormatting xmlns:xm="http://schemas.microsoft.com/office/excel/2006/main">
          <x14:cfRule type="dataBar" priority="936" id="{00FB00A7-0091-48E1-846F-00BB008900A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U57</xm:sqref>
        </x14:conditionalFormatting>
        <x14:conditionalFormatting xmlns:xm="http://schemas.microsoft.com/office/excel/2006/main">
          <x14:cfRule type="dataBar" priority="935" id="{0064004A-0027-4594-A2D1-00B60031000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U76:U93</xm:sqref>
        </x14:conditionalFormatting>
        <x14:conditionalFormatting xmlns:xm="http://schemas.microsoft.com/office/excel/2006/main">
          <x14:cfRule type="dataBar" priority="934" id="{00A000B8-008E-4CE2-9227-000D00AB000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U76:U93</xm:sqref>
        </x14:conditionalFormatting>
        <x14:conditionalFormatting xmlns:xm="http://schemas.microsoft.com/office/excel/2006/main">
          <x14:cfRule type="dataBar" priority="932" id="{00F1001C-00EB-4645-AB27-0073004300D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U81</xm:sqref>
        </x14:conditionalFormatting>
        <x14:conditionalFormatting xmlns:xm="http://schemas.microsoft.com/office/excel/2006/main">
          <x14:cfRule type="dataBar" priority="931" id="{006E0051-006B-4E68-95ED-00C400D7007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U81</xm:sqref>
        </x14:conditionalFormatting>
        <x14:conditionalFormatting xmlns:xm="http://schemas.microsoft.com/office/excel/2006/main">
          <x14:cfRule type="dataBar" priority="930" id="{00360095-003A-4B2F-9609-00F00007009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U81</xm:sqref>
        </x14:conditionalFormatting>
        <x14:conditionalFormatting xmlns:xm="http://schemas.microsoft.com/office/excel/2006/main">
          <x14:cfRule type="dataBar" priority="929" id="{00040067-00C2-4131-B702-000900A200E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U100:U117</xm:sqref>
        </x14:conditionalFormatting>
        <x14:conditionalFormatting xmlns:xm="http://schemas.microsoft.com/office/excel/2006/main">
          <x14:cfRule type="dataBar" priority="928" id="{003A003C-00E2-46C6-80E6-00C600DA000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U100:U117</xm:sqref>
        </x14:conditionalFormatting>
        <x14:conditionalFormatting xmlns:xm="http://schemas.microsoft.com/office/excel/2006/main">
          <x14:cfRule type="dataBar" priority="926" id="{00090091-00E2-456C-A6DC-0090000100B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U105</xm:sqref>
        </x14:conditionalFormatting>
        <x14:conditionalFormatting xmlns:xm="http://schemas.microsoft.com/office/excel/2006/main">
          <x14:cfRule type="dataBar" priority="925" id="{00A0004E-00D0-4EBB-8D50-003B008100E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U105</xm:sqref>
        </x14:conditionalFormatting>
        <x14:conditionalFormatting xmlns:xm="http://schemas.microsoft.com/office/excel/2006/main">
          <x14:cfRule type="dataBar" priority="924" id="{001F00A8-00CE-4B1A-B86B-00670058007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U105</xm:sqref>
        </x14:conditionalFormatting>
        <x14:conditionalFormatting xmlns:xm="http://schemas.microsoft.com/office/excel/2006/main">
          <x14:cfRule type="dataBar" priority="923" id="{000A00A9-00A7-4E50-BC1E-006A006E00A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U124:U141</xm:sqref>
        </x14:conditionalFormatting>
        <x14:conditionalFormatting xmlns:xm="http://schemas.microsoft.com/office/excel/2006/main">
          <x14:cfRule type="dataBar" priority="922" id="{0005001E-00BE-411C-968E-002D003A00A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U124:U141</xm:sqref>
        </x14:conditionalFormatting>
        <x14:conditionalFormatting xmlns:xm="http://schemas.microsoft.com/office/excel/2006/main">
          <x14:cfRule type="dataBar" priority="920" id="{009C009A-006C-4529-8C40-001E0059003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U129</xm:sqref>
        </x14:conditionalFormatting>
        <x14:conditionalFormatting xmlns:xm="http://schemas.microsoft.com/office/excel/2006/main">
          <x14:cfRule type="dataBar" priority="919" id="{007800FE-00E8-47CF-99B0-0040000100C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U129</xm:sqref>
        </x14:conditionalFormatting>
        <x14:conditionalFormatting xmlns:xm="http://schemas.microsoft.com/office/excel/2006/main">
          <x14:cfRule type="dataBar" priority="918" id="{00B700B1-0091-450F-83D8-00E70068005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U129</xm:sqref>
        </x14:conditionalFormatting>
        <x14:conditionalFormatting xmlns:xm="http://schemas.microsoft.com/office/excel/2006/main">
          <x14:cfRule type="dataBar" priority="917" id="{00DB00EC-00EA-4D9C-88F3-00CC00DE00C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U28:U45</xm:sqref>
        </x14:conditionalFormatting>
        <x14:conditionalFormatting xmlns:xm="http://schemas.microsoft.com/office/excel/2006/main">
          <x14:cfRule type="dataBar" priority="916" id="{003B0009-006F-4B77-BB77-00D5000A004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U52:U69</xm:sqref>
        </x14:conditionalFormatting>
        <x14:conditionalFormatting xmlns:xm="http://schemas.microsoft.com/office/excel/2006/main">
          <x14:cfRule type="dataBar" priority="915" id="{008800B8-0018-4D32-8499-001A0049007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U76:U93</xm:sqref>
        </x14:conditionalFormatting>
        <x14:conditionalFormatting xmlns:xm="http://schemas.microsoft.com/office/excel/2006/main">
          <x14:cfRule type="dataBar" priority="914" id="{00FC0047-00E1-4931-B52E-002F00A0008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U100:U117</xm:sqref>
        </x14:conditionalFormatting>
        <x14:conditionalFormatting xmlns:xm="http://schemas.microsoft.com/office/excel/2006/main">
          <x14:cfRule type="dataBar" priority="913" id="{00400037-00CF-44FD-B3C9-00E3001300BF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U124:U141</xm:sqref>
        </x14:conditionalFormatting>
        <x14:conditionalFormatting xmlns:xm="http://schemas.microsoft.com/office/excel/2006/main">
          <x14:cfRule type="dataBar" priority="912" id="{00ED008C-00B6-477C-B4AE-00AD000D00DA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T124:T141</xm:sqref>
        </x14:conditionalFormatting>
        <x14:conditionalFormatting xmlns:xm="http://schemas.microsoft.com/office/excel/2006/main">
          <x14:cfRule type="dataBar" priority="911" id="{003F00BA-00E5-46BE-B48B-002D00A600FF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T100:T117</xm:sqref>
        </x14:conditionalFormatting>
        <x14:conditionalFormatting xmlns:xm="http://schemas.microsoft.com/office/excel/2006/main">
          <x14:cfRule type="dataBar" priority="910" id="{008A00B2-0016-4ACA-96BC-00CF00E90085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T76:T93</xm:sqref>
        </x14:conditionalFormatting>
        <x14:conditionalFormatting xmlns:xm="http://schemas.microsoft.com/office/excel/2006/main">
          <x14:cfRule type="dataBar" priority="909" id="{003F0068-001D-4865-810A-00E60095002A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T52:T69</xm:sqref>
        </x14:conditionalFormatting>
        <x14:conditionalFormatting xmlns:xm="http://schemas.microsoft.com/office/excel/2006/main">
          <x14:cfRule type="dataBar" priority="908" id="{00CA0094-001C-43CB-ABEA-00900015002A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T28:T45</xm:sqref>
        </x14:conditionalFormatting>
        <x14:conditionalFormatting xmlns:xm="http://schemas.microsoft.com/office/excel/2006/main">
          <x14:cfRule type="dataBar" priority="907" id="{002C00C0-00B6-4AA6-AF13-00FC00C100C3}">
            <x14:dataBar maxLength="90" minLength="10" axisPosition="automatic" direction="context">
              <x14:cfvo type="min"/>
              <x14:cfvo type="max"/>
              <x14:fillColor rgb="FF008AEF"/>
            </x14:dataBar>
          </x14:cfRule>
          <xm:sqref>T4:T21</xm:sqref>
        </x14:conditionalFormatting>
        <x14:conditionalFormatting xmlns:xm="http://schemas.microsoft.com/office/excel/2006/main">
          <x14:cfRule type="dataBar" priority="906" id="{00D000F4-0095-4BA6-BBC2-00E2008F009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S145:S148 S152</xm:sqref>
        </x14:conditionalFormatting>
        <x14:conditionalFormatting xmlns:xm="http://schemas.microsoft.com/office/excel/2006/main">
          <x14:cfRule type="dataBar" priority="905" id="{002200CE-005F-44F7-B3F4-00F700DA002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F145:F148 F152</xm:sqref>
        </x14:conditionalFormatting>
        <x14:conditionalFormatting xmlns:xm="http://schemas.microsoft.com/office/excel/2006/main">
          <x14:cfRule type="dataBar" priority="904" id="{003E000A-005D-477B-8DCF-00C9005E0074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N145:N148 N152</xm:sqref>
        </x14:conditionalFormatting>
        <x14:conditionalFormatting xmlns:xm="http://schemas.microsoft.com/office/excel/2006/main">
          <x14:cfRule type="dataBar" priority="903" id="{005B00F0-0080-40BC-9589-00BF0006001E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F145:F146</xm:sqref>
        </x14:conditionalFormatting>
        <x14:conditionalFormatting xmlns:xm="http://schemas.microsoft.com/office/excel/2006/main">
          <x14:cfRule type="dataBar" priority="902" id="{00920085-00B9-4268-9DFE-00C500D3000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F145:F146</xm:sqref>
        </x14:conditionalFormatting>
        <x14:conditionalFormatting xmlns:xm="http://schemas.microsoft.com/office/excel/2006/main">
          <x14:cfRule type="dataBar" priority="901" id="{005100AD-00F0-4FDC-963A-0022007D009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N145:N146</xm:sqref>
        </x14:conditionalFormatting>
        <x14:conditionalFormatting xmlns:xm="http://schemas.microsoft.com/office/excel/2006/main">
          <x14:cfRule type="dataBar" priority="900" id="{00F10008-009A-4CD3-9257-00900076004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9" id="{005700B8-00A6-4147-9AA7-00B500C700A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8" id="{00CA0073-0092-4137-896D-000C007D0079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N145:N146</xm:sqref>
        </x14:conditionalFormatting>
        <x14:conditionalFormatting xmlns:xm="http://schemas.microsoft.com/office/excel/2006/main">
          <x14:cfRule type="dataBar" priority="897" id="{00D5003C-0002-4686-88E1-00550095000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6" id="{0008003C-00A7-4A67-B900-009F00CD007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5" id="{0011000D-001C-4D98-9AF7-006400F2006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4" id="{00BA009B-0065-49AB-9788-00F20019009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3" id="{006C0056-00E2-41F3-BF6E-00A600F100F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S145:S146</xm:sqref>
        </x14:conditionalFormatting>
        <x14:conditionalFormatting xmlns:xm="http://schemas.microsoft.com/office/excel/2006/main">
          <x14:cfRule type="dataBar" priority="892" id="{000A001F-00F4-439C-A92F-00B700F500A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F145:F146</xm:sqref>
        </x14:conditionalFormatting>
        <x14:conditionalFormatting xmlns:xm="http://schemas.microsoft.com/office/excel/2006/main">
          <x14:cfRule type="dataBar" priority="891" id="{003A008F-00CD-43A0-A433-00C0008300E6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N145:N146</xm:sqref>
        </x14:conditionalFormatting>
        <x14:conditionalFormatting xmlns:xm="http://schemas.microsoft.com/office/excel/2006/main">
          <x14:cfRule type="dataBar" priority="890" id="{00E1004D-00A6-4AE6-99D1-000B008100E7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F145:F147</xm:sqref>
        </x14:conditionalFormatting>
        <x14:conditionalFormatting xmlns:xm="http://schemas.microsoft.com/office/excel/2006/main">
          <x14:cfRule type="dataBar" priority="889" id="{008500F7-00B8-41D5-9030-006200F3009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F145:F147</xm:sqref>
        </x14:conditionalFormatting>
        <x14:conditionalFormatting xmlns:xm="http://schemas.microsoft.com/office/excel/2006/main">
          <x14:cfRule type="dataBar" priority="888" id="{00880054-00BB-4CA2-8AFE-009C00AE00A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N145:N147</xm:sqref>
        </x14:conditionalFormatting>
        <x14:conditionalFormatting xmlns:xm="http://schemas.microsoft.com/office/excel/2006/main">
          <x14:cfRule type="dataBar" priority="887" id="{00C90018-0095-4EE2-9944-00060014003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86" id="{006100DE-00A8-45CA-882B-005B0023001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85" id="{00A700F6-00E3-49F9-9FAD-00EC0041009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84" id="{008B00BD-0044-474D-9E9C-00F00092009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83" id="{006F0004-0082-4B59-A0C1-006A00C3005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82" id="{00A300D1-004B-4E08-A5C6-006C005F00A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F146</xm:sqref>
        </x14:conditionalFormatting>
        <x14:conditionalFormatting xmlns:xm="http://schemas.microsoft.com/office/excel/2006/main">
          <x14:cfRule type="dataBar" priority="881" id="{0033002C-000A-41A1-A7F7-001400BE008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F145:F147</xm:sqref>
        </x14:conditionalFormatting>
        <x14:conditionalFormatting xmlns:xm="http://schemas.microsoft.com/office/excel/2006/main">
          <x14:cfRule type="dataBar" priority="880" id="{00BA0075-0025-4C61-B2B9-0068001D009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F145</xm:sqref>
        </x14:conditionalFormatting>
        <x14:conditionalFormatting xmlns:xm="http://schemas.microsoft.com/office/excel/2006/main">
          <x14:cfRule type="dataBar" priority="879" id="{000700B1-00F9-4461-91CF-00F500DF00E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F145:F147</xm:sqref>
        </x14:conditionalFormatting>
        <x14:conditionalFormatting xmlns:xm="http://schemas.microsoft.com/office/excel/2006/main">
          <x14:cfRule type="dataBar" priority="878" id="{00F40004-0049-4168-BB43-0077001D005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N145:N147</xm:sqref>
        </x14:conditionalFormatting>
        <x14:conditionalFormatting xmlns:xm="http://schemas.microsoft.com/office/excel/2006/main">
          <x14:cfRule type="dataBar" priority="877" id="{00C000DC-00A6-4E23-9D60-007A0019000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6" id="{005100DF-001E-4269-AAE2-00A9004400C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5" id="{00270066-0044-4FCE-A4A0-009300D500F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N145:N147</xm:sqref>
        </x14:conditionalFormatting>
        <x14:conditionalFormatting xmlns:xm="http://schemas.microsoft.com/office/excel/2006/main">
          <x14:cfRule type="dataBar" priority="874" id="{002E00BE-008D-4827-9A02-008800DE006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3" id="{00A20089-00B2-4EDF-843C-00D6003800A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2" id="{004F00B1-00A7-4551-BFC2-00C7003300F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1" id="{00E90072-0014-4788-8B34-00AE0044007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S145:S147</xm:sqref>
        </x14:conditionalFormatting>
        <x14:conditionalFormatting xmlns:xm="http://schemas.microsoft.com/office/excel/2006/main">
          <x14:cfRule type="dataBar" priority="870" id="{002D0047-0072-4E87-9BEA-00B300FA00F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S161:S163</xm:sqref>
        </x14:conditionalFormatting>
        <x14:conditionalFormatting xmlns:xm="http://schemas.microsoft.com/office/excel/2006/main">
          <x14:cfRule type="dataBar" priority="869" id="{00C7002C-0080-49D0-8D9E-00F7001E00A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F161:F163</xm:sqref>
        </x14:conditionalFormatting>
        <x14:conditionalFormatting xmlns:xm="http://schemas.microsoft.com/office/excel/2006/main">
          <x14:cfRule type="dataBar" priority="868" id="{00160054-00D7-4A9A-89BE-002600F300B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N161:N163</xm:sqref>
        </x14:conditionalFormatting>
        <x14:conditionalFormatting xmlns:xm="http://schemas.microsoft.com/office/excel/2006/main">
          <x14:cfRule type="dataBar" priority="867" id="{0009008D-00D3-4216-A33D-00610002001B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F160:F163</xm:sqref>
        </x14:conditionalFormatting>
        <x14:conditionalFormatting xmlns:xm="http://schemas.microsoft.com/office/excel/2006/main">
          <x14:cfRule type="dataBar" priority="866" id="{005D0082-006A-46B2-BBE3-0022004000CD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F162</xm:sqref>
        </x14:conditionalFormatting>
        <x14:conditionalFormatting xmlns:xm="http://schemas.microsoft.com/office/excel/2006/main">
          <x14:cfRule type="dataBar" priority="843" id="{00AD001F-0012-47FA-9C4A-00E60079008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842" id="{003900B7-0006-481D-9DB4-00B20046000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841" id="{00B80028-0069-46EB-80AA-00DC0018000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U154</xm:sqref>
        </x14:conditionalFormatting>
        <x14:conditionalFormatting xmlns:xm="http://schemas.microsoft.com/office/excel/2006/main">
          <x14:cfRule type="dataBar" priority="840" id="{003C00B9-0090-49B4-9081-000D004A00A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39" id="{00B800B1-00B4-4AB2-BFBE-009500A0000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838" id="{00720051-0010-426A-8B4F-0059006300F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837" id="{004100CB-00B9-4B97-B917-0091002D002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836" id="{007200F5-0057-4469-922F-009D00D90004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835" id="{00390062-0027-4D3E-B63E-0076008A00F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34" id="{00F30067-00A2-41CB-BD13-005100BB008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33" id="{00B600A7-00D1-4CB2-94AE-000600F800C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832" id="{00930086-0063-409C-9CBB-006E004500AA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831" id="{00AD0065-009E-4F23-BEBC-003C00FC00E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30" id="{00270017-0009-4D58-B948-00A200B6005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9" id="{00990069-0035-49EF-9942-008E001D000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8" id="{002900A9-0033-463B-8E3F-00AD00D8007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7" id="{00DE00FF-00BA-4284-81B5-005500E6002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6" id="{00AC00EF-001A-43AA-9D38-000200A1007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5" id="{002D00C0-00C9-4CB3-88CB-005F007D003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4" id="{00CF0005-00ED-4BA0-9A59-0044006D00A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3" id="{00840036-0020-4214-85A8-0021005A00D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2" id="{008A0018-003C-4252-87E4-004C003800C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821" id="{00E2009A-0070-4041-BF0C-00B0007800B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T149</xm:sqref>
        </x14:conditionalFormatting>
        <x14:conditionalFormatting xmlns:xm="http://schemas.microsoft.com/office/excel/2006/main">
          <x14:cfRule type="dataBar" priority="820" id="{009F004C-00C4-40CB-B7DA-00BE00DE00D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T149</xm:sqref>
        </x14:conditionalFormatting>
        <x14:conditionalFormatting xmlns:xm="http://schemas.microsoft.com/office/excel/2006/main">
          <x14:cfRule type="dataBar" priority="819" id="{005000B7-002D-408E-A706-00F7006D001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T149</xm:sqref>
        </x14:conditionalFormatting>
        <x14:conditionalFormatting xmlns:xm="http://schemas.microsoft.com/office/excel/2006/main">
          <x14:cfRule type="dataBar" priority="818" id="{00F90042-00D5-4940-971F-00BC0004006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U149</xm:sqref>
        </x14:conditionalFormatting>
        <x14:conditionalFormatting xmlns:xm="http://schemas.microsoft.com/office/excel/2006/main">
          <x14:cfRule type="dataBar" priority="817" id="{00400070-0000-4663-81D9-006600F2004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U149</xm:sqref>
        </x14:conditionalFormatting>
        <x14:conditionalFormatting xmlns:xm="http://schemas.microsoft.com/office/excel/2006/main">
          <x14:cfRule type="dataBar" priority="816" id="{00110048-000A-44F2-A426-00BE002E00D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U149</xm:sqref>
        </x14:conditionalFormatting>
        <x14:conditionalFormatting xmlns:xm="http://schemas.microsoft.com/office/excel/2006/main">
          <x14:cfRule type="dataBar" priority="814" id="{00D20056-00FB-446C-B743-0044003F007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813" id="{00340039-00CC-4CE7-A8D0-008A001200F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812" id="{007D0062-0032-449F-BBFA-00C2009F00B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811" id="{00A20064-006F-4D2A-A3F5-00260020006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808" id="{00A300ED-00FE-4CA4-94F2-00A800A800AE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807" id="{0001002D-001C-4643-AC27-00E30077001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790" id="{008300D7-0085-4122-B3D1-002300EF00B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9" id="{001B0072-003B-476C-9878-00D600FD00A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8" id="{002A002B-0023-4619-AAEF-0036001A00E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7" id="{00E500DE-004F-4F2A-B945-0022000E009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6" id="{002B00E4-0016-4586-87B3-003F0001003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5" id="{00D9009B-006D-48F5-BEC3-00FB00BA001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4" id="{008E00CA-008B-47F4-8C6A-006000D1008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3" id="{007B00A8-0049-4A3C-9FC1-006B00ED009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2" id="{001100FD-00C0-49FD-9916-00DC00E7004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1" id="{00EC0049-002C-4B65-994E-009100F8007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80" id="{00CF007F-0057-4535-A9B0-008D00AA00F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79" id="{007E00FC-003B-4933-80FA-009200EA004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78" id="{00140031-004D-4099-90F5-005000D9002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764" id="{00EB0096-00CE-4EEE-9B03-008500C2004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763" id="{00BF007D-005B-4F7B-9CB8-00DC0023007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F154</xm:sqref>
        </x14:conditionalFormatting>
        <x14:conditionalFormatting xmlns:xm="http://schemas.microsoft.com/office/excel/2006/main">
          <x14:cfRule type="dataBar" priority="762" id="{006D00F7-003D-434A-976D-0040000F004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</xm:sqref>
        </x14:conditionalFormatting>
        <x14:conditionalFormatting xmlns:xm="http://schemas.microsoft.com/office/excel/2006/main">
          <x14:cfRule type="dataBar" priority="746" id="{00D900C4-00BE-4C94-8A90-008D0047001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F160</xm:sqref>
        </x14:conditionalFormatting>
        <x14:conditionalFormatting xmlns:xm="http://schemas.microsoft.com/office/excel/2006/main">
          <x14:cfRule type="dataBar" priority="742" id="{00900059-0019-4817-86E9-00830049008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F160:F162</xm:sqref>
        </x14:conditionalFormatting>
        <x14:conditionalFormatting xmlns:xm="http://schemas.microsoft.com/office/excel/2006/main">
          <x14:cfRule type="dataBar" priority="738" id="{00D50077-00BB-4F90-ABE5-003E0035003D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F160:F163</xm:sqref>
        </x14:conditionalFormatting>
        <x14:conditionalFormatting xmlns:xm="http://schemas.microsoft.com/office/excel/2006/main">
          <x14:cfRule type="dataBar" priority="734" id="{000B0082-0044-4DF5-A652-004D00B800C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T154</xm:sqref>
        </x14:conditionalFormatting>
        <x14:conditionalFormatting xmlns:xm="http://schemas.microsoft.com/office/excel/2006/main">
          <x14:cfRule type="dataBar" priority="733" id="{004D00F8-007E-46CD-83A5-00BA000F008B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T154</xm:sqref>
        </x14:conditionalFormatting>
        <x14:conditionalFormatting xmlns:xm="http://schemas.microsoft.com/office/excel/2006/main">
          <x14:cfRule type="dataBar" priority="732" id="{00D2006F-0014-4795-8C53-00BB007B00C7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T154</xm:sqref>
        </x14:conditionalFormatting>
        <x14:conditionalFormatting xmlns:xm="http://schemas.microsoft.com/office/excel/2006/main">
          <x14:cfRule type="dataBar" priority="731" id="{003200AE-0001-4268-A2F9-008A00AD004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730" id="{00CB00B9-00C9-4E40-99DD-004700FB00B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729" id="{00BA00F2-00E3-4BF2-A6E3-00EB007400D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T160</xm:sqref>
        </x14:conditionalFormatting>
        <x14:conditionalFormatting xmlns:xm="http://schemas.microsoft.com/office/excel/2006/main">
          <x14:cfRule type="dataBar" priority="728" id="{000A00C6-0008-45C1-A633-009900AD005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727" id="{000B004F-0091-4D51-8CAA-00E3005000B5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726" id="{00390098-0073-4060-AF5A-00B90097008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T159</xm:sqref>
        </x14:conditionalFormatting>
        <x14:conditionalFormatting xmlns:xm="http://schemas.microsoft.com/office/excel/2006/main">
          <x14:cfRule type="dataBar" priority="716" id="{00C60093-00D1-4C67-A4AE-00DE008300E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715" id="{00E9004A-0080-4234-A0F3-00BA002C007E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713" id="{004C002C-0056-4FBF-8DD8-0006002E00D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712" id="{00400086-00B2-4D59-AC34-001900E600E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711" id="{00B40062-00AD-4536-AD4F-00190065003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U160</xm:sqref>
        </x14:conditionalFormatting>
        <x14:conditionalFormatting xmlns:xm="http://schemas.microsoft.com/office/excel/2006/main">
          <x14:cfRule type="dataBar" priority="710" id="{006C00F7-003F-4A9C-B32B-00F4001C00D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709" id="{00410079-00BA-4D54-AB9E-008E00FE006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708" id="{007A0039-0015-4C44-9D33-008E009200A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U159</xm:sqref>
        </x14:conditionalFormatting>
        <x14:conditionalFormatting xmlns:xm="http://schemas.microsoft.com/office/excel/2006/main">
          <x14:cfRule type="dataBar" priority="701" id="{00D90064-0079-4A00-B9D3-00160053007A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N148:N149</xm:sqref>
        </x14:conditionalFormatting>
        <x14:conditionalFormatting xmlns:xm="http://schemas.microsoft.com/office/excel/2006/main">
          <x14:cfRule type="dataBar" priority="699" id="{0005009E-00DF-4898-8019-00E700590095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F148:F149</xm:sqref>
        </x14:conditionalFormatting>
        <x14:conditionalFormatting xmlns:xm="http://schemas.microsoft.com/office/excel/2006/main">
          <x14:cfRule type="dataBar" priority="697" id="{00870072-00AA-43E7-BFE2-0031002C00DD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F148:F149</xm:sqref>
        </x14:conditionalFormatting>
        <x14:conditionalFormatting xmlns:xm="http://schemas.microsoft.com/office/excel/2006/main">
          <x14:cfRule type="dataBar" priority="696" id="{008F00FB-00BA-4A15-9AE5-00810000003D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F148:F149</xm:sqref>
        </x14:conditionalFormatting>
        <x14:conditionalFormatting xmlns:xm="http://schemas.microsoft.com/office/excel/2006/main">
          <x14:cfRule type="dataBar" priority="694" id="{002000E7-00A4-4D8B-A1AD-003F0012000D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F148:F149</xm:sqref>
        </x14:conditionalFormatting>
        <x14:conditionalFormatting xmlns:xm="http://schemas.microsoft.com/office/excel/2006/main">
          <x14:cfRule type="dataBar" priority="690" id="{008A009A-00F1-4CAD-9C4E-005200CE00FD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N148:N149</xm:sqref>
        </x14:conditionalFormatting>
        <x14:conditionalFormatting xmlns:xm="http://schemas.microsoft.com/office/excel/2006/main">
          <x14:cfRule type="dataBar" priority="637" id="{00B3008C-002D-4576-8B8B-00BB00CB001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N148:N149</xm:sqref>
        </x14:conditionalFormatting>
        <x14:conditionalFormatting xmlns:xm="http://schemas.microsoft.com/office/excel/2006/main">
          <x14:cfRule type="dataBar" priority="636" id="{00D500D3-0030-45C7-B927-0034000D002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T148:T149</xm:sqref>
        </x14:conditionalFormatting>
        <x14:conditionalFormatting xmlns:xm="http://schemas.microsoft.com/office/excel/2006/main">
          <x14:cfRule type="dataBar" priority="635" id="{00B300ED-00C9-47B6-97A8-00E200120042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U148:U149</xm:sqref>
        </x14:conditionalFormatting>
        <x14:conditionalFormatting xmlns:xm="http://schemas.microsoft.com/office/excel/2006/main">
          <x14:cfRule type="dataBar" priority="634" id="{004E00D0-00E2-4131-84F0-00480040009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U148:U149</xm:sqref>
        </x14:conditionalFormatting>
        <x14:conditionalFormatting xmlns:xm="http://schemas.microsoft.com/office/excel/2006/main">
          <x14:cfRule type="dataBar" priority="632" id="{00E700D7-00DF-44B9-A24A-0053008B00AE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F148:F149</xm:sqref>
        </x14:conditionalFormatting>
        <x14:conditionalFormatting xmlns:xm="http://schemas.microsoft.com/office/excel/2006/main">
          <x14:cfRule type="dataBar" priority="631" id="{007D0088-00FD-453B-9306-002A000B00E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S150 S157</xm:sqref>
        </x14:conditionalFormatting>
        <x14:conditionalFormatting xmlns:xm="http://schemas.microsoft.com/office/excel/2006/main">
          <x14:cfRule type="dataBar" priority="630" id="{00CC007A-0038-4834-91B6-004A006B001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F150 F157</xm:sqref>
        </x14:conditionalFormatting>
        <x14:conditionalFormatting xmlns:xm="http://schemas.microsoft.com/office/excel/2006/main">
          <x14:cfRule type="dataBar" priority="629" id="{005300F7-00E2-46A5-976E-001200C2007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N150 N157</xm:sqref>
        </x14:conditionalFormatting>
        <x14:conditionalFormatting xmlns:xm="http://schemas.microsoft.com/office/excel/2006/main">
          <x14:cfRule type="dataBar" priority="610" id="{0015000D-004E-4029-9943-0077004A006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S164:S167</xm:sqref>
        </x14:conditionalFormatting>
        <x14:conditionalFormatting xmlns:xm="http://schemas.microsoft.com/office/excel/2006/main">
          <x14:cfRule type="dataBar" priority="609" id="{00450012-0051-4135-95EE-00C90038005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F164:F167</xm:sqref>
        </x14:conditionalFormatting>
        <x14:conditionalFormatting xmlns:xm="http://schemas.microsoft.com/office/excel/2006/main">
          <x14:cfRule type="dataBar" priority="608" id="{000D00BD-0086-4695-B77C-000C005D00BC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N164:N167</xm:sqref>
        </x14:conditionalFormatting>
        <x14:conditionalFormatting xmlns:xm="http://schemas.microsoft.com/office/excel/2006/main">
          <x14:cfRule type="dataBar" priority="607" id="{001F0040-00AD-45B1-9EB6-00B600CF004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F163:F167</xm:sqref>
        </x14:conditionalFormatting>
        <x14:conditionalFormatting xmlns:xm="http://schemas.microsoft.com/office/excel/2006/main">
          <x14:cfRule type="dataBar" priority="606" id="{005F0037-0053-4605-B1CD-004500B700F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F165</xm:sqref>
        </x14:conditionalFormatting>
        <x14:conditionalFormatting xmlns:xm="http://schemas.microsoft.com/office/excel/2006/main">
          <x14:cfRule type="dataBar" priority="605" id="{000E0006-0006-4F51-AC5D-00F40000008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U158</xm:sqref>
        </x14:conditionalFormatting>
        <x14:conditionalFormatting xmlns:xm="http://schemas.microsoft.com/office/excel/2006/main">
          <x14:cfRule type="dataBar" priority="604" id="{00E00005-00BC-4798-9438-00FF0012006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U158</xm:sqref>
        </x14:conditionalFormatting>
        <x14:conditionalFormatting xmlns:xm="http://schemas.microsoft.com/office/excel/2006/main">
          <x14:cfRule type="dataBar" priority="603" id="{0061005C-000E-4369-92D5-00CE00BB008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U158</xm:sqref>
        </x14:conditionalFormatting>
        <x14:conditionalFormatting xmlns:xm="http://schemas.microsoft.com/office/excel/2006/main">
          <x14:cfRule type="dataBar" priority="602" id="{0080002A-00B9-48F5-9813-008200A200C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601" id="{00880019-0046-4325-920D-0040001E00B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600" id="{006000D1-0086-4BD4-AEF3-00810018005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599" id="{0073000C-00FA-41AD-B8D2-009E009F004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598" id="{00010011-0069-4A48-9F03-003F008E009C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597" id="{00F10035-0025-4F98-B379-000C0052008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96" id="{007F0072-00B2-4B3D-9C77-00E100B6003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95" id="{00A70072-0036-450B-BF82-002A0010005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F151</xm:sqref>
        </x14:conditionalFormatting>
        <x14:conditionalFormatting xmlns:xm="http://schemas.microsoft.com/office/excel/2006/main">
          <x14:cfRule type="dataBar" priority="594" id="{00A3000E-004A-4D1B-B2F2-003900B100C4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N151</xm:sqref>
        </x14:conditionalFormatting>
        <x14:conditionalFormatting xmlns:xm="http://schemas.microsoft.com/office/excel/2006/main">
          <x14:cfRule type="dataBar" priority="593" id="{007D0026-0085-4E40-98B3-0050001A009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92" id="{000B00F8-0002-4BBA-8196-008F0007003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91" id="{001C00C5-007D-4C58-9E3D-000A0022001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90" id="{00E500EC-0037-4848-A37E-002900FE002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9" id="{00FE000F-0040-43C2-8617-001A003C005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8" id="{00B3000D-006F-4BA0-BED2-0077009E004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7" id="{00C30005-0095-4D94-8FC6-00D00017009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6" id="{00B700C1-00F9-4565-830D-000C002E009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5" id="{006200F5-0057-4F1B-88C4-004800DB003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4" id="{006C0049-0071-4ADB-AB85-0064006C00F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83" id="{004300E0-005B-46AF-93E3-0055001A008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T151</xm:sqref>
        </x14:conditionalFormatting>
        <x14:conditionalFormatting xmlns:xm="http://schemas.microsoft.com/office/excel/2006/main">
          <x14:cfRule type="dataBar" priority="582" id="{001B00A6-00E0-4CE5-B8D7-001F00EC008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T151</xm:sqref>
        </x14:conditionalFormatting>
        <x14:conditionalFormatting xmlns:xm="http://schemas.microsoft.com/office/excel/2006/main">
          <x14:cfRule type="dataBar" priority="581" id="{003C0038-0008-4F46-AA97-001200EE00B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T151</xm:sqref>
        </x14:conditionalFormatting>
        <x14:conditionalFormatting xmlns:xm="http://schemas.microsoft.com/office/excel/2006/main">
          <x14:cfRule type="dataBar" priority="580" id="{009600BC-001C-420D-93CA-00D2009C007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U151</xm:sqref>
        </x14:conditionalFormatting>
        <x14:conditionalFormatting xmlns:xm="http://schemas.microsoft.com/office/excel/2006/main">
          <x14:cfRule type="dataBar" priority="579" id="{00F60028-0093-4D6D-A6F3-00B30012003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U151</xm:sqref>
        </x14:conditionalFormatting>
        <x14:conditionalFormatting xmlns:xm="http://schemas.microsoft.com/office/excel/2006/main">
          <x14:cfRule type="dataBar" priority="578" id="{00E20080-008B-4427-9C95-00E50047007F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U151</xm:sqref>
        </x14:conditionalFormatting>
        <x14:conditionalFormatting xmlns:xm="http://schemas.microsoft.com/office/excel/2006/main">
          <x14:cfRule type="dataBar" priority="571" id="{000F00FC-00F1-499A-AD00-00B80092007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70" id="{00200031-001B-4AEA-9CF3-005F00CE008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9" id="{00F60091-002E-4A77-ADF5-000600E4002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8" id="{007C0080-00DB-4502-B462-005B0076007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7" id="{00B70017-0038-4529-9322-003C0038006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6" id="{00BF0011-0083-4792-942B-00520076000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5" id="{00BC00D4-00EB-4F46-A3A7-005A0017006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4" id="{007900DF-00D9-480B-9F1F-00590030006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3" id="{005A00F2-0099-4753-8E5F-0082001B001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2" id="{002E0061-005C-45C7-8FC1-004B0044001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1" id="{00080076-00E1-43A6-AEE1-000C00BB007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60" id="{00BB0096-004B-4DA9-B902-006B00CF001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59" id="{00C10014-00E9-42B1-9216-00F60018006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S151</xm:sqref>
        </x14:conditionalFormatting>
        <x14:conditionalFormatting xmlns:xm="http://schemas.microsoft.com/office/excel/2006/main">
          <x14:cfRule type="dataBar" priority="558" id="{002F0023-00C5-43BB-BB88-0063005F002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S158</xm:sqref>
        </x14:conditionalFormatting>
        <x14:conditionalFormatting xmlns:xm="http://schemas.microsoft.com/office/excel/2006/main">
          <x14:cfRule type="dataBar" priority="557" id="{0022002F-005F-4E11-8494-00E90030008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F158</xm:sqref>
        </x14:conditionalFormatting>
        <x14:conditionalFormatting xmlns:xm="http://schemas.microsoft.com/office/excel/2006/main">
          <x14:cfRule type="dataBar" priority="556" id="{004C0093-00D4-42E5-9181-003E009A002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N158</xm:sqref>
        </x14:conditionalFormatting>
        <x14:conditionalFormatting xmlns:xm="http://schemas.microsoft.com/office/excel/2006/main">
          <x14:cfRule type="dataBar" priority="555" id="{00A0005F-001A-4572-97E8-0006008900E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S158:S160</xm:sqref>
        </x14:conditionalFormatting>
        <x14:conditionalFormatting xmlns:xm="http://schemas.microsoft.com/office/excel/2006/main">
          <x14:cfRule type="dataBar" priority="554" id="{00080064-00B8-4A88-B7F9-009500C3007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F158:F160</xm:sqref>
        </x14:conditionalFormatting>
        <x14:conditionalFormatting xmlns:xm="http://schemas.microsoft.com/office/excel/2006/main">
          <x14:cfRule type="dataBar" priority="553" id="{00DC001B-005E-4CAD-930C-002F004D00E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N158:N160</xm:sqref>
        </x14:conditionalFormatting>
        <x14:conditionalFormatting xmlns:xm="http://schemas.microsoft.com/office/excel/2006/main">
          <x14:cfRule type="dataBar" priority="552" id="{001B002A-0047-4E2E-ACA0-00B4005A00F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S158:S161</xm:sqref>
        </x14:conditionalFormatting>
        <x14:conditionalFormatting xmlns:xm="http://schemas.microsoft.com/office/excel/2006/main">
          <x14:cfRule type="dataBar" priority="551" id="{00C300E3-0018-4A4A-8A04-00B9003000D0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F158:F161</xm:sqref>
        </x14:conditionalFormatting>
        <x14:conditionalFormatting xmlns:xm="http://schemas.microsoft.com/office/excel/2006/main">
          <x14:cfRule type="dataBar" priority="550" id="{0019006C-005C-4430-9F99-00F8007800DB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N158:N161</xm:sqref>
        </x14:conditionalFormatting>
        <x14:conditionalFormatting xmlns:xm="http://schemas.microsoft.com/office/excel/2006/main">
          <x14:cfRule type="dataBar" priority="549" id="{00F30032-002E-41FA-BB40-0012009B00A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F163</xm:sqref>
        </x14:conditionalFormatting>
        <x14:conditionalFormatting xmlns:xm="http://schemas.microsoft.com/office/excel/2006/main">
          <x14:cfRule type="dataBar" priority="548" id="{00FE00D1-00FC-482D-A85D-00D100E6008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F163:F165</xm:sqref>
        </x14:conditionalFormatting>
        <x14:conditionalFormatting xmlns:xm="http://schemas.microsoft.com/office/excel/2006/main">
          <x14:cfRule type="dataBar" priority="547" id="{007E003A-0024-47A3-B4E0-0041008A002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F163:F167</xm:sqref>
        </x14:conditionalFormatting>
        <x14:conditionalFormatting xmlns:xm="http://schemas.microsoft.com/office/excel/2006/main">
          <x14:cfRule type="dataBar" priority="546" id="{003800E5-004E-4D8E-97A0-00E20032009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545" id="{00AE00D6-00C1-4A26-899B-008E00F800E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544" id="{00D000D3-0036-45A4-AD29-006400A800A7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T159</xm:sqref>
        </x14:conditionalFormatting>
        <x14:conditionalFormatting xmlns:xm="http://schemas.microsoft.com/office/excel/2006/main">
          <x14:cfRule type="dataBar" priority="543" id="{00D400E2-0082-4738-AA94-0047001400C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T158</xm:sqref>
        </x14:conditionalFormatting>
        <x14:conditionalFormatting xmlns:xm="http://schemas.microsoft.com/office/excel/2006/main">
          <x14:cfRule type="dataBar" priority="542" id="{00FB007B-0086-4212-805D-00A000C400B4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T158</xm:sqref>
        </x14:conditionalFormatting>
        <x14:conditionalFormatting xmlns:xm="http://schemas.microsoft.com/office/excel/2006/main">
          <x14:cfRule type="dataBar" priority="541" id="{00720052-00B5-4BCA-8D83-00DF0009007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T158</xm:sqref>
        </x14:conditionalFormatting>
        <x14:conditionalFormatting xmlns:xm="http://schemas.microsoft.com/office/excel/2006/main">
          <x14:cfRule type="dataBar" priority="540" id="{00AD00D2-001A-46EC-A9BC-004700B6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T163</xm:sqref>
        </x14:conditionalFormatting>
        <x14:conditionalFormatting xmlns:xm="http://schemas.microsoft.com/office/excel/2006/main">
          <x14:cfRule type="dataBar" priority="539" id="{0050003A-00F2-489B-9922-00100019002E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T163</xm:sqref>
        </x14:conditionalFormatting>
        <x14:conditionalFormatting xmlns:xm="http://schemas.microsoft.com/office/excel/2006/main">
          <x14:cfRule type="dataBar" priority="538" id="{00DE00C4-000E-4A60-BB96-009300DA00B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T163</xm:sqref>
        </x14:conditionalFormatting>
        <x14:conditionalFormatting xmlns:xm="http://schemas.microsoft.com/office/excel/2006/main">
          <x14:cfRule type="dataBar" priority="537" id="{00B60054-00D4-4E58-BB8F-008200A3001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T162</xm:sqref>
        </x14:conditionalFormatting>
        <x14:conditionalFormatting xmlns:xm="http://schemas.microsoft.com/office/excel/2006/main">
          <x14:cfRule type="dataBar" priority="536" id="{00E30024-0089-4CB5-8AD3-00B7009B008B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T162</xm:sqref>
        </x14:conditionalFormatting>
        <x14:conditionalFormatting xmlns:xm="http://schemas.microsoft.com/office/excel/2006/main">
          <x14:cfRule type="dataBar" priority="535" id="{00DE008E-0083-4827-A131-0049003500A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T162</xm:sqref>
        </x14:conditionalFormatting>
        <x14:conditionalFormatting xmlns:xm="http://schemas.microsoft.com/office/excel/2006/main">
          <x14:cfRule type="dataBar" priority="534" id="{0047009C-006A-472F-BE3F-00A60021005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533" id="{007E001C-007D-4CF3-944B-0029001F000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532" id="{000000B0-001A-475D-912E-00F600D3001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U159</xm:sqref>
        </x14:conditionalFormatting>
        <x14:conditionalFormatting xmlns:xm="http://schemas.microsoft.com/office/excel/2006/main">
          <x14:cfRule type="dataBar" priority="531" id="{00D90055-00CD-487C-957E-003E00F9004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U158</xm:sqref>
        </x14:conditionalFormatting>
        <x14:conditionalFormatting xmlns:xm="http://schemas.microsoft.com/office/excel/2006/main">
          <x14:cfRule type="dataBar" priority="530" id="{00730065-0034-4A66-85EC-009700FB00EE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U158</xm:sqref>
        </x14:conditionalFormatting>
        <x14:conditionalFormatting xmlns:xm="http://schemas.microsoft.com/office/excel/2006/main">
          <x14:cfRule type="dataBar" priority="529" id="{002300C5-00F5-490B-8523-00D9008E005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U163</xm:sqref>
        </x14:conditionalFormatting>
        <x14:conditionalFormatting xmlns:xm="http://schemas.microsoft.com/office/excel/2006/main">
          <x14:cfRule type="dataBar" priority="528" id="{00250026-00A0-44D5-B043-00F000BB00C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U163</xm:sqref>
        </x14:conditionalFormatting>
        <x14:conditionalFormatting xmlns:xm="http://schemas.microsoft.com/office/excel/2006/main">
          <x14:cfRule type="dataBar" priority="527" id="{002000EE-00F1-4D31-8CA4-009C0064009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U163</xm:sqref>
        </x14:conditionalFormatting>
        <x14:conditionalFormatting xmlns:xm="http://schemas.microsoft.com/office/excel/2006/main">
          <x14:cfRule type="dataBar" priority="526" id="{000D00C6-00A3-45BA-A7B5-003E008600E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U162</xm:sqref>
        </x14:conditionalFormatting>
        <x14:conditionalFormatting xmlns:xm="http://schemas.microsoft.com/office/excel/2006/main">
          <x14:cfRule type="dataBar" priority="525" id="{005E005F-0018-4195-9DDD-0053009F0031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U162</xm:sqref>
        </x14:conditionalFormatting>
        <x14:conditionalFormatting xmlns:xm="http://schemas.microsoft.com/office/excel/2006/main">
          <x14:cfRule type="dataBar" priority="524" id="{008800CE-00AA-49EF-9AD1-0084004F00D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U162</xm:sqref>
        </x14:conditionalFormatting>
        <x14:conditionalFormatting xmlns:xm="http://schemas.microsoft.com/office/excel/2006/main">
          <x14:cfRule type="dataBar" priority="523" id="{00470060-008B-4F5B-80CD-009D006A000E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N150:N151</xm:sqref>
        </x14:conditionalFormatting>
        <x14:conditionalFormatting xmlns:xm="http://schemas.microsoft.com/office/excel/2006/main">
          <x14:cfRule type="dataBar" priority="522" id="{007200D8-0060-4141-BB7C-009A009E0011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N150:N151</xm:sqref>
        </x14:conditionalFormatting>
        <x14:conditionalFormatting xmlns:xm="http://schemas.microsoft.com/office/excel/2006/main">
          <x14:cfRule type="dataBar" priority="521" id="{001800F2-000D-4144-9052-00AE002C00FF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F150:F151</xm:sqref>
        </x14:conditionalFormatting>
        <x14:conditionalFormatting xmlns:xm="http://schemas.microsoft.com/office/excel/2006/main">
          <x14:cfRule type="dataBar" priority="520" id="{002F00D3-008F-4720-9BF7-00C10076005C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F150:F151</xm:sqref>
        </x14:conditionalFormatting>
        <x14:conditionalFormatting xmlns:xm="http://schemas.microsoft.com/office/excel/2006/main">
          <x14:cfRule type="dataBar" priority="519" id="{000D009B-00CF-43FB-9F68-006F007000F9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F150:F151</xm:sqref>
        </x14:conditionalFormatting>
        <x14:conditionalFormatting xmlns:xm="http://schemas.microsoft.com/office/excel/2006/main">
          <x14:cfRule type="dataBar" priority="518" id="{00950020-00B1-4695-85BE-00D80035006D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F150:F151</xm:sqref>
        </x14:conditionalFormatting>
        <x14:conditionalFormatting xmlns:xm="http://schemas.microsoft.com/office/excel/2006/main">
          <x14:cfRule type="dataBar" priority="517" id="{00370039-001C-48DB-960F-002900CE00D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16" id="{008200E2-0055-4789-8C7C-008200FA009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F152</xm:sqref>
        </x14:conditionalFormatting>
        <x14:conditionalFormatting xmlns:xm="http://schemas.microsoft.com/office/excel/2006/main">
          <x14:cfRule type="dataBar" priority="515" id="{008D00CD-0072-4A20-AD21-00D6005100C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N152</xm:sqref>
        </x14:conditionalFormatting>
        <x14:conditionalFormatting xmlns:xm="http://schemas.microsoft.com/office/excel/2006/main">
          <x14:cfRule type="dataBar" priority="514" id="{003400D2-005B-4257-BFB2-003B00A600A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F152</xm:sqref>
        </x14:conditionalFormatting>
        <x14:conditionalFormatting xmlns:xm="http://schemas.microsoft.com/office/excel/2006/main">
          <x14:cfRule type="dataBar" priority="513" id="{00AA003B-008F-4617-8857-005500FB0029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N152</xm:sqref>
        </x14:conditionalFormatting>
        <x14:conditionalFormatting xmlns:xm="http://schemas.microsoft.com/office/excel/2006/main">
          <x14:cfRule type="dataBar" priority="512" id="{00D70095-003F-4612-A3FA-005D00BD008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11" id="{0085003D-0065-42DE-857D-0097006C009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10" id="{00FC0096-0094-42D3-BD42-00C20078000B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F152</xm:sqref>
        </x14:conditionalFormatting>
        <x14:conditionalFormatting xmlns:xm="http://schemas.microsoft.com/office/excel/2006/main">
          <x14:cfRule type="dataBar" priority="509" id="{00040051-003B-487A-AD12-000000EB0090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N152</xm:sqref>
        </x14:conditionalFormatting>
        <x14:conditionalFormatting xmlns:xm="http://schemas.microsoft.com/office/excel/2006/main">
          <x14:cfRule type="dataBar" priority="508" id="{007D00E1-00AC-46ED-983B-001700AE00F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7" id="{00E8007C-006A-43DD-8672-002D0078001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6" id="{006300B1-00E0-46D3-BDA8-004A003E00E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5" id="{00E4004A-005C-4BEC-98FE-000A00B100C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4" id="{00260075-00CF-470E-95D5-00EE0061000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3" id="{00F0000E-0099-440D-BA9C-001D00A3004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2" id="{0005000D-0057-4339-ABB6-00A5005800D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1" id="{007E00D9-0096-4B74-ABF2-004B0018000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500" id="{00DF002C-00EC-4E97-9BC4-007600C800F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99" id="{00B9008C-0013-4AE2-9F46-00050049008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98" id="{009100A9-0071-4789-AF92-00640032006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T152</xm:sqref>
        </x14:conditionalFormatting>
        <x14:conditionalFormatting xmlns:xm="http://schemas.microsoft.com/office/excel/2006/main">
          <x14:cfRule type="dataBar" priority="497" id="{0082007C-0060-4A8B-B557-008600F5008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T152</xm:sqref>
        </x14:conditionalFormatting>
        <x14:conditionalFormatting xmlns:xm="http://schemas.microsoft.com/office/excel/2006/main">
          <x14:cfRule type="dataBar" priority="496" id="{006D009F-00B4-47DE-9882-008800F2002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T152</xm:sqref>
        </x14:conditionalFormatting>
        <x14:conditionalFormatting xmlns:xm="http://schemas.microsoft.com/office/excel/2006/main">
          <x14:cfRule type="dataBar" priority="495" id="{00220098-0096-45B7-9F17-000A00A400F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U152</xm:sqref>
        </x14:conditionalFormatting>
        <x14:conditionalFormatting xmlns:xm="http://schemas.microsoft.com/office/excel/2006/main">
          <x14:cfRule type="dataBar" priority="494" id="{00F700E3-0070-446E-AD39-00C700FC00C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U152</xm:sqref>
        </x14:conditionalFormatting>
        <x14:conditionalFormatting xmlns:xm="http://schemas.microsoft.com/office/excel/2006/main">
          <x14:cfRule type="dataBar" priority="493" id="{00F10073-0071-4AC9-A489-00F50069006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U152</xm:sqref>
        </x14:conditionalFormatting>
        <x14:conditionalFormatting xmlns:xm="http://schemas.microsoft.com/office/excel/2006/main">
          <x14:cfRule type="dataBar" priority="492" id="{00AC00AF-0050-49AF-A6BF-00B100FB006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91" id="{001800CD-0023-4850-AE82-008B00B900F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90" id="{006A0085-004D-4705-83AA-006A0094002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9" id="{004F0071-00CE-44EB-9F66-005B007A00B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8" id="{00660024-0040-4872-980D-0091002200C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7" id="{00F20062-00DF-46D2-9117-001100AF00F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6" id="{00D000E3-0006-4A19-AE76-008000CC007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5" id="{00D500BB-00C1-470C-8205-0050003E008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4" id="{008600BD-0071-4E8C-AF25-004D004C00E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3" id="{002100E5-0033-4AAD-A1B3-00D000CE002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2" id="{00EC00E9-007C-466B-A69D-0099006500F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1" id="{00DE009B-0013-47FA-AA1F-0058003900B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80" id="{00790072-00F2-4A59-878A-003500E8005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S152</xm:sqref>
        </x14:conditionalFormatting>
        <x14:conditionalFormatting xmlns:xm="http://schemas.microsoft.com/office/excel/2006/main">
          <x14:cfRule type="dataBar" priority="479" id="{0075008F-0051-4B75-BBF9-006C004200C0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N152</xm:sqref>
        </x14:conditionalFormatting>
        <x14:conditionalFormatting xmlns:xm="http://schemas.microsoft.com/office/excel/2006/main">
          <x14:cfRule type="dataBar" priority="478" id="{005F000E-0077-41A5-AD4E-008E002800B6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N152</xm:sqref>
        </x14:conditionalFormatting>
        <x14:conditionalFormatting xmlns:xm="http://schemas.microsoft.com/office/excel/2006/main">
          <x14:cfRule type="dataBar" priority="477" id="{00D80089-00C1-4D79-AB0B-0026006600B0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F152</xm:sqref>
        </x14:conditionalFormatting>
        <x14:conditionalFormatting xmlns:xm="http://schemas.microsoft.com/office/excel/2006/main">
          <x14:cfRule type="dataBar" priority="476" id="{0070007D-0035-40B0-85BC-00C300BE00AA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F152</xm:sqref>
        </x14:conditionalFormatting>
        <x14:conditionalFormatting xmlns:xm="http://schemas.microsoft.com/office/excel/2006/main">
          <x14:cfRule type="dataBar" priority="475" id="{00F00062-006D-443A-932C-00DE00E90078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F152</xm:sqref>
        </x14:conditionalFormatting>
        <x14:conditionalFormatting xmlns:xm="http://schemas.microsoft.com/office/excel/2006/main">
          <x14:cfRule type="dataBar" priority="474" id="{0017009A-0020-4F67-B3B6-001200F00096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F152</xm:sqref>
        </x14:conditionalFormatting>
        <x14:conditionalFormatting xmlns:xm="http://schemas.microsoft.com/office/excel/2006/main">
          <x14:cfRule type="dataBar" priority="473" id="{002C00D7-004B-4282-8FC2-00C200C00086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F152</xm:sqref>
        </x14:conditionalFormatting>
        <x14:conditionalFormatting xmlns:xm="http://schemas.microsoft.com/office/excel/2006/main">
          <x14:cfRule type="dataBar" priority="472" id="{00480029-00AC-4CD0-9F02-002F009B0009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N152</xm:sqref>
        </x14:conditionalFormatting>
        <x14:conditionalFormatting xmlns:xm="http://schemas.microsoft.com/office/excel/2006/main">
          <x14:cfRule type="dataBar" priority="471" id="{000B00C0-0098-4975-863C-003600080095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S152</xm:sqref>
        </x14:conditionalFormatting>
        <x14:conditionalFormatting xmlns:xm="http://schemas.microsoft.com/office/excel/2006/main">
          <x14:cfRule type="dataBar" priority="470" id="{00790008-00E1-40F3-9D58-004600D2008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T152</xm:sqref>
        </x14:conditionalFormatting>
        <x14:conditionalFormatting xmlns:xm="http://schemas.microsoft.com/office/excel/2006/main">
          <x14:cfRule type="dataBar" priority="469" id="{001E004F-0050-4A15-BE31-007900CA00A1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T152</xm:sqref>
        </x14:conditionalFormatting>
        <x14:conditionalFormatting xmlns:xm="http://schemas.microsoft.com/office/excel/2006/main">
          <x14:cfRule type="dataBar" priority="467" id="{00C10004-0000-482B-9B9B-00D7007F00E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N150:N152</xm:sqref>
        </x14:conditionalFormatting>
        <x14:conditionalFormatting xmlns:xm="http://schemas.microsoft.com/office/excel/2006/main">
          <x14:cfRule type="dataBar" priority="466" id="{005C0089-0050-4AD3-98F1-0090003A000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T150:T152</xm:sqref>
        </x14:conditionalFormatting>
        <x14:conditionalFormatting xmlns:xm="http://schemas.microsoft.com/office/excel/2006/main">
          <x14:cfRule type="dataBar" priority="465" id="{0052008F-0054-4EB1-B47A-004C00D0002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U150:U152</xm:sqref>
        </x14:conditionalFormatting>
        <x14:conditionalFormatting xmlns:xm="http://schemas.microsoft.com/office/excel/2006/main">
          <x14:cfRule type="dataBar" priority="464" id="{00440051-00C5-4559-9493-00760008001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U150:U152</xm:sqref>
        </x14:conditionalFormatting>
        <x14:conditionalFormatting xmlns:xm="http://schemas.microsoft.com/office/excel/2006/main">
          <x14:cfRule type="dataBar" priority="463" id="{00310031-0005-4729-A539-000000280044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F150:F152</xm:sqref>
        </x14:conditionalFormatting>
        <x14:conditionalFormatting xmlns:xm="http://schemas.microsoft.com/office/excel/2006/main">
          <x14:cfRule type="dataBar" priority="462" id="{0035006E-0039-4F12-8196-00AF00C1003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61" id="{002E000C-00DA-4B0F-9034-004B00BB000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460" id="{008C0080-00B3-4248-9C87-0061008200E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459" id="{00C50036-002D-4B86-9CF7-00FC008100D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458" id="{00270036-0046-481E-9229-00D800E500E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457" id="{003E003F-00EE-465B-9D52-00E10081000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56" id="{002F0045-00FB-4E53-91E5-007A00A0007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55" id="{005E00C7-0069-4D6F-92BA-00330041007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F149</xm:sqref>
        </x14:conditionalFormatting>
        <x14:conditionalFormatting xmlns:xm="http://schemas.microsoft.com/office/excel/2006/main">
          <x14:cfRule type="dataBar" priority="454" id="{00E70095-0095-4CE6-B2AB-005F009F004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N149</xm:sqref>
        </x14:conditionalFormatting>
        <x14:conditionalFormatting xmlns:xm="http://schemas.microsoft.com/office/excel/2006/main">
          <x14:cfRule type="dataBar" priority="453" id="{00D500B0-0037-4164-A40D-00F80076001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52" id="{00A1005A-00D2-4D25-8E65-008D002A00D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51" id="{004600E1-006B-40F7-AAAE-00A3008E001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50" id="{00EB00D8-0049-42D5-93BD-00B40040000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9" id="{00E000F9-000C-4A08-A24F-005C00D000B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8" id="{006D00FE-0066-4659-A9A5-000B0086003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7" id="{00170032-00D1-470C-B4CF-00F000A100F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6" id="{00EE00D1-00DF-402F-B515-000700E6001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5" id="{00710098-000B-4E3A-A636-0012002D00B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4" id="{00FD0058-00CB-4109-B99D-00CD00A3009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S149</xm:sqref>
        </x14:conditionalFormatting>
        <x14:conditionalFormatting xmlns:xm="http://schemas.microsoft.com/office/excel/2006/main">
          <x14:cfRule type="dataBar" priority="443" id="{002A0090-001B-4A19-978C-00E90048006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T149</xm:sqref>
        </x14:conditionalFormatting>
        <x14:conditionalFormatting xmlns:xm="http://schemas.microsoft.com/office/excel/2006/main">
          <x14:cfRule type="dataBar" priority="442" id="{0027001E-00E1-4277-A61D-001000980001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T149</xm:sqref>
        </x14:conditionalFormatting>
        <x14:conditionalFormatting xmlns:xm="http://schemas.microsoft.com/office/excel/2006/main">
          <x14:cfRule type="dataBar" priority="440" id="{00CE00B9-0077-423C-82A1-00DF0031000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U149</xm:sqref>
        </x14:conditionalFormatting>
        <x14:conditionalFormatting xmlns:xm="http://schemas.microsoft.com/office/excel/2006/main">
          <x14:cfRule type="dataBar" priority="439" id="{00BF0022-0011-4752-A9C1-00B90087001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U149</xm:sqref>
        </x14:conditionalFormatting>
        <x14:conditionalFormatting xmlns:xm="http://schemas.microsoft.com/office/excel/2006/main">
          <x14:cfRule type="dataBar" priority="391" id="{0027009C-00C9-4D26-9BD4-0039000B005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F163</xm:sqref>
        </x14:conditionalFormatting>
        <x14:conditionalFormatting xmlns:xm="http://schemas.microsoft.com/office/excel/2006/main">
          <x14:cfRule type="dataBar" priority="384" id="{009C0000-0075-458D-BD8A-005700AC006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F161</xm:sqref>
        </x14:conditionalFormatting>
        <x14:conditionalFormatting xmlns:xm="http://schemas.microsoft.com/office/excel/2006/main">
          <x14:cfRule type="dataBar" priority="383" id="{007200B1-009E-4A57-872D-00E400E000A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T157</xm:sqref>
        </x14:conditionalFormatting>
        <x14:conditionalFormatting xmlns:xm="http://schemas.microsoft.com/office/excel/2006/main">
          <x14:cfRule type="dataBar" priority="382" id="{00D60037-00B9-487C-AB2C-0097006B0025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T157</xm:sqref>
        </x14:conditionalFormatting>
        <x14:conditionalFormatting xmlns:xm="http://schemas.microsoft.com/office/excel/2006/main">
          <x14:cfRule type="dataBar" priority="381" id="{009B0011-00E5-4B39-94A8-0048007000C4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T157</xm:sqref>
        </x14:conditionalFormatting>
        <x14:conditionalFormatting xmlns:xm="http://schemas.microsoft.com/office/excel/2006/main">
          <x14:cfRule type="dataBar" priority="377" id="{008400BB-0074-44DD-93A1-00740068009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T161</xm:sqref>
        </x14:conditionalFormatting>
        <x14:conditionalFormatting xmlns:xm="http://schemas.microsoft.com/office/excel/2006/main">
          <x14:cfRule type="dataBar" priority="376" id="{0062001E-0018-4B3D-809B-0067009F0054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T161</xm:sqref>
        </x14:conditionalFormatting>
        <x14:conditionalFormatting xmlns:xm="http://schemas.microsoft.com/office/excel/2006/main">
          <x14:cfRule type="dataBar" priority="375" id="{003200D6-0011-466E-AE11-00DA00B5008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T161</xm:sqref>
        </x14:conditionalFormatting>
        <x14:conditionalFormatting xmlns:xm="http://schemas.microsoft.com/office/excel/2006/main">
          <x14:cfRule type="dataBar" priority="374" id="{00950055-002D-4003-8F85-001C001E008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373" id="{009200F7-006F-4D3E-B1BE-00B400C90095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372" id="{00FA00AE-005D-4876-BB56-003E005E000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T160</xm:sqref>
        </x14:conditionalFormatting>
        <x14:conditionalFormatting xmlns:xm="http://schemas.microsoft.com/office/excel/2006/main">
          <x14:cfRule type="dataBar" priority="371" id="{001A00B3-00D0-4A99-B46B-00FA0088001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U157</xm:sqref>
        </x14:conditionalFormatting>
        <x14:conditionalFormatting xmlns:xm="http://schemas.microsoft.com/office/excel/2006/main">
          <x14:cfRule type="dataBar" priority="370" id="{00930087-002A-4AFD-A539-00D500D000EE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U157</xm:sqref>
        </x14:conditionalFormatting>
        <x14:conditionalFormatting xmlns:xm="http://schemas.microsoft.com/office/excel/2006/main">
          <x14:cfRule type="dataBar" priority="369" id="{00B800C4-00FD-4AAA-9298-0006003B00F4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U157</xm:sqref>
        </x14:conditionalFormatting>
        <x14:conditionalFormatting xmlns:xm="http://schemas.microsoft.com/office/excel/2006/main">
          <x14:cfRule type="dataBar" priority="366" id="{007200CB-00B3-4F60-964A-00040003005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U161</xm:sqref>
        </x14:conditionalFormatting>
        <x14:conditionalFormatting xmlns:xm="http://schemas.microsoft.com/office/excel/2006/main">
          <x14:cfRule type="dataBar" priority="365" id="{008400EF-00A7-4095-8688-00F300C5003B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U161</xm:sqref>
        </x14:conditionalFormatting>
        <x14:conditionalFormatting xmlns:xm="http://schemas.microsoft.com/office/excel/2006/main">
          <x14:cfRule type="dataBar" priority="364" id="{00E30007-00FD-48EF-B28C-007600C40077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U161</xm:sqref>
        </x14:conditionalFormatting>
        <x14:conditionalFormatting xmlns:xm="http://schemas.microsoft.com/office/excel/2006/main">
          <x14:cfRule type="dataBar" priority="363" id="{0065009A-00D9-440A-9AF7-0015000D003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362" id="{008D00AF-0002-4552-8880-0037009F00DC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361" id="{00C000E1-0052-4D49-BD9B-006200A200C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U160</xm:sqref>
        </x14:conditionalFormatting>
        <x14:conditionalFormatting xmlns:xm="http://schemas.microsoft.com/office/excel/2006/main">
          <x14:cfRule type="dataBar" priority="360" id="{008C00E8-003C-4454-967B-00350057001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S158</xm:sqref>
        </x14:conditionalFormatting>
        <x14:conditionalFormatting xmlns:xm="http://schemas.microsoft.com/office/excel/2006/main">
          <x14:cfRule type="dataBar" priority="359" id="{00B300BA-0009-4FD7-9ED4-006E00FD004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F158</xm:sqref>
        </x14:conditionalFormatting>
        <x14:conditionalFormatting xmlns:xm="http://schemas.microsoft.com/office/excel/2006/main">
          <x14:cfRule type="dataBar" priority="358" id="{00BB0087-009F-4FF3-AFE0-00F000F100A8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N158</xm:sqref>
        </x14:conditionalFormatting>
        <x14:conditionalFormatting xmlns:xm="http://schemas.microsoft.com/office/excel/2006/main">
          <x14:cfRule type="dataBar" priority="357" id="{0052004B-00FA-463C-84D8-001900EA004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F166</xm:sqref>
        </x14:conditionalFormatting>
        <x14:conditionalFormatting xmlns:xm="http://schemas.microsoft.com/office/excel/2006/main">
          <x14:cfRule type="dataBar" priority="356" id="{00070033-0040-46BD-B64D-00580080005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355" id="{005200C8-0015-4DAA-AB26-005B00A1003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354" id="{009900B5-00D4-4357-AABB-004C00B8000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U159</xm:sqref>
        </x14:conditionalFormatting>
        <x14:conditionalFormatting xmlns:xm="http://schemas.microsoft.com/office/excel/2006/main">
          <x14:cfRule type="dataBar" priority="353" id="{001B004C-006F-45C9-8C31-002400CE00BE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</xm:sqref>
        </x14:conditionalFormatting>
        <x14:conditionalFormatting xmlns:xm="http://schemas.microsoft.com/office/excel/2006/main">
          <x14:cfRule type="dataBar" priority="352" id="{002300B4-00F4-46E5-9232-00C100A400F0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</xm:sqref>
        </x14:conditionalFormatting>
        <x14:conditionalFormatting xmlns:xm="http://schemas.microsoft.com/office/excel/2006/main">
          <x14:cfRule type="dataBar" priority="351" id="{002B0093-0000-4525-9185-0038000F009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F157</xm:sqref>
        </x14:conditionalFormatting>
        <x14:conditionalFormatting xmlns:xm="http://schemas.microsoft.com/office/excel/2006/main">
          <x14:cfRule type="dataBar" priority="350" id="{007100A9-00DB-46B3-A63B-002500DF00B9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</xm:sqref>
        </x14:conditionalFormatting>
        <x14:conditionalFormatting xmlns:xm="http://schemas.microsoft.com/office/excel/2006/main">
          <x14:cfRule type="dataBar" priority="349" id="{002D008D-00B8-4C3D-829E-006B00CD00A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F157</xm:sqref>
        </x14:conditionalFormatting>
        <x14:conditionalFormatting xmlns:xm="http://schemas.microsoft.com/office/excel/2006/main">
          <x14:cfRule type="dataBar" priority="348" id="{00D90064-008E-4F43-8D9F-00DA004F005C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N157</xm:sqref>
        </x14:conditionalFormatting>
        <x14:conditionalFormatting xmlns:xm="http://schemas.microsoft.com/office/excel/2006/main">
          <x14:cfRule type="dataBar" priority="347" id="{005600EE-00AD-4E9D-8A17-001A009C009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S159</xm:sqref>
        </x14:conditionalFormatting>
        <x14:conditionalFormatting xmlns:xm="http://schemas.microsoft.com/office/excel/2006/main">
          <x14:cfRule type="dataBar" priority="346" id="{009800B1-0010-48EE-93C7-00660013008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F159</xm:sqref>
        </x14:conditionalFormatting>
        <x14:conditionalFormatting xmlns:xm="http://schemas.microsoft.com/office/excel/2006/main">
          <x14:cfRule type="dataBar" priority="345" id="{00310047-0098-40D5-AF62-000A001D00D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N159</xm:sqref>
        </x14:conditionalFormatting>
        <x14:conditionalFormatting xmlns:xm="http://schemas.microsoft.com/office/excel/2006/main">
          <x14:cfRule type="dataBar" priority="344" id="{004D0004-00D7-41AF-96BD-0073002100E7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F164</xm:sqref>
        </x14:conditionalFormatting>
        <x14:conditionalFormatting xmlns:xm="http://schemas.microsoft.com/office/excel/2006/main">
          <x14:cfRule type="dataBar" priority="343" id="{00570067-00FD-43CB-A60E-000F001E007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342" id="{00BB0097-0049-4CDD-9AB0-009700CD0011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T160</xm:sqref>
        </x14:conditionalFormatting>
        <x14:conditionalFormatting xmlns:xm="http://schemas.microsoft.com/office/excel/2006/main">
          <x14:cfRule type="dataBar" priority="341" id="{0021006C-001D-403A-A4D4-00D500A2006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T160</xm:sqref>
        </x14:conditionalFormatting>
        <x14:conditionalFormatting xmlns:xm="http://schemas.microsoft.com/office/excel/2006/main">
          <x14:cfRule type="dataBar" priority="340" id="{002B003B-004F-45B7-9E3C-004B00DF003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339" id="{00590090-00A3-4348-A73A-003C004A006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T159</xm:sqref>
        </x14:conditionalFormatting>
        <x14:conditionalFormatting xmlns:xm="http://schemas.microsoft.com/office/excel/2006/main">
          <x14:cfRule type="dataBar" priority="338" id="{00D60009-00F0-4E70-A59C-005800270070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T159</xm:sqref>
        </x14:conditionalFormatting>
        <x14:conditionalFormatting xmlns:xm="http://schemas.microsoft.com/office/excel/2006/main">
          <x14:cfRule type="dataBar" priority="337" id="{003A00ED-007E-4DFB-8F0F-001100DE009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T164</xm:sqref>
        </x14:conditionalFormatting>
        <x14:conditionalFormatting xmlns:xm="http://schemas.microsoft.com/office/excel/2006/main">
          <x14:cfRule type="dataBar" priority="336" id="{00F5003F-0063-4788-AD2F-00280038005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T164</xm:sqref>
        </x14:conditionalFormatting>
        <x14:conditionalFormatting xmlns:xm="http://schemas.microsoft.com/office/excel/2006/main">
          <x14:cfRule type="dataBar" priority="335" id="{008F004E-00BE-471E-B264-002E007B00A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T164</xm:sqref>
        </x14:conditionalFormatting>
        <x14:conditionalFormatting xmlns:xm="http://schemas.microsoft.com/office/excel/2006/main">
          <x14:cfRule type="dataBar" priority="334" id="{0029002C-00E6-4897-BC0A-00DD00A700E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T163</xm:sqref>
        </x14:conditionalFormatting>
        <x14:conditionalFormatting xmlns:xm="http://schemas.microsoft.com/office/excel/2006/main">
          <x14:cfRule type="dataBar" priority="333" id="{001900FA-00E2-4ABC-8152-00F5003E00C4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T163</xm:sqref>
        </x14:conditionalFormatting>
        <x14:conditionalFormatting xmlns:xm="http://schemas.microsoft.com/office/excel/2006/main">
          <x14:cfRule type="dataBar" priority="332" id="{00320098-006D-4385-874F-002E0022001A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T163</xm:sqref>
        </x14:conditionalFormatting>
        <x14:conditionalFormatting xmlns:xm="http://schemas.microsoft.com/office/excel/2006/main">
          <x14:cfRule type="dataBar" priority="331" id="{00690096-0076-4C84-B03A-002800C600E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330" id="{001E00DD-00EC-4B59-800D-00BF0073001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U160</xm:sqref>
        </x14:conditionalFormatting>
        <x14:conditionalFormatting xmlns:xm="http://schemas.microsoft.com/office/excel/2006/main">
          <x14:cfRule type="dataBar" priority="329" id="{00CF00FF-00D8-4FB4-8DAA-00DE00D2002A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U160</xm:sqref>
        </x14:conditionalFormatting>
        <x14:conditionalFormatting xmlns:xm="http://schemas.microsoft.com/office/excel/2006/main">
          <x14:cfRule type="dataBar" priority="328" id="{008400B1-0009-4F9B-8874-0071002D00F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327" id="{006D00BD-0022-4F50-AA4A-008B00D900CF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U159</xm:sqref>
        </x14:conditionalFormatting>
        <x14:conditionalFormatting xmlns:xm="http://schemas.microsoft.com/office/excel/2006/main">
          <x14:cfRule type="dataBar" priority="326" id="{0092000D-00FF-4B68-97FF-0022007C009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U164</xm:sqref>
        </x14:conditionalFormatting>
        <x14:conditionalFormatting xmlns:xm="http://schemas.microsoft.com/office/excel/2006/main">
          <x14:cfRule type="dataBar" priority="325" id="{00BD0055-0078-40C3-8386-007800EB00D2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U164</xm:sqref>
        </x14:conditionalFormatting>
        <x14:conditionalFormatting xmlns:xm="http://schemas.microsoft.com/office/excel/2006/main">
          <x14:cfRule type="dataBar" priority="324" id="{00A000C4-00ED-48D0-A23D-003C00C700A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U164</xm:sqref>
        </x14:conditionalFormatting>
        <x14:conditionalFormatting xmlns:xm="http://schemas.microsoft.com/office/excel/2006/main">
          <x14:cfRule type="dataBar" priority="323" id="{00070084-00B0-4172-A0E2-00F3005000C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U163</xm:sqref>
        </x14:conditionalFormatting>
        <x14:conditionalFormatting xmlns:xm="http://schemas.microsoft.com/office/excel/2006/main">
          <x14:cfRule type="dataBar" priority="322" id="{00780028-0003-47A6-8117-00F600A6002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U163</xm:sqref>
        </x14:conditionalFormatting>
        <x14:conditionalFormatting xmlns:xm="http://schemas.microsoft.com/office/excel/2006/main">
          <x14:cfRule type="dataBar" priority="321" id="{00BE006E-0054-4218-A214-00FE00A000E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U163</xm:sqref>
        </x14:conditionalFormatting>
        <x14:conditionalFormatting xmlns:xm="http://schemas.microsoft.com/office/excel/2006/main">
          <x14:cfRule type="dataBar" priority="320" id="{005F008B-00C3-4898-87FF-00FE00AA001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19" id="{005C008C-00FA-482F-BB0B-0076007F001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F154</xm:sqref>
        </x14:conditionalFormatting>
        <x14:conditionalFormatting xmlns:xm="http://schemas.microsoft.com/office/excel/2006/main">
          <x14:cfRule type="dataBar" priority="318" id="{007500BF-001A-4D86-8DF7-00F2008300A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</xm:sqref>
        </x14:conditionalFormatting>
        <x14:conditionalFormatting xmlns:xm="http://schemas.microsoft.com/office/excel/2006/main">
          <x14:cfRule type="dataBar" priority="317" id="{002C0091-0095-4811-B747-002600BD00B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16" id="{00650036-00A3-4052-8831-0018008F003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F154</xm:sqref>
        </x14:conditionalFormatting>
        <x14:conditionalFormatting xmlns:xm="http://schemas.microsoft.com/office/excel/2006/main">
          <x14:cfRule type="dataBar" priority="315" id="{004800AE-0077-4AA7-B4D3-00EA00AC002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</xm:sqref>
        </x14:conditionalFormatting>
        <x14:conditionalFormatting xmlns:xm="http://schemas.microsoft.com/office/excel/2006/main">
          <x14:cfRule type="dataBar" priority="314" id="{007500F5-004E-43BA-80F6-008F00A000F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F154</xm:sqref>
        </x14:conditionalFormatting>
        <x14:conditionalFormatting xmlns:xm="http://schemas.microsoft.com/office/excel/2006/main">
          <x14:cfRule type="dataBar" priority="313" id="{00F00049-00D9-4AB1-AB37-0048001C000B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</xm:sqref>
        </x14:conditionalFormatting>
        <x14:conditionalFormatting xmlns:xm="http://schemas.microsoft.com/office/excel/2006/main">
          <x14:cfRule type="dataBar" priority="312" id="{00270020-00FE-4705-BFA7-00C80061006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11" id="{007C009A-0028-4782-84C8-0079000B00A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10" id="{008200F8-00F2-4477-AC7F-00FC002900C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F154</xm:sqref>
        </x14:conditionalFormatting>
        <x14:conditionalFormatting xmlns:xm="http://schemas.microsoft.com/office/excel/2006/main">
          <x14:cfRule type="dataBar" priority="309" id="{008100AF-00E9-4419-9495-009F0040000E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N154</xm:sqref>
        </x14:conditionalFormatting>
        <x14:conditionalFormatting xmlns:xm="http://schemas.microsoft.com/office/excel/2006/main">
          <x14:cfRule type="dataBar" priority="308" id="{00210077-005D-4576-8579-003C0077004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7" id="{00E10066-000D-4F18-96EB-007300F0006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6" id="{0062002F-005C-4454-9DA1-00640062003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5" id="{00020036-00D1-45B8-8D2B-002100CF009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4" id="{003800DF-00C9-48D0-963B-00520073004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3" id="{009500B3-0088-495F-8602-0022005200B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2" id="{000F00A1-0072-4E73-910E-0042001700E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1" id="{00DC00FB-00FA-4494-96A5-00C400C3004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300" id="{00D00075-007A-4716-AD6E-009B004D006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99" id="{000A00C2-0055-481F-8475-00A2009700C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98" id="{00B700EE-00EA-4E76-9B00-00490004006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T154</xm:sqref>
        </x14:conditionalFormatting>
        <x14:conditionalFormatting xmlns:xm="http://schemas.microsoft.com/office/excel/2006/main">
          <x14:cfRule type="dataBar" priority="297" id="{001A001E-00AC-4CAC-8465-00B000B200AD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T154</xm:sqref>
        </x14:conditionalFormatting>
        <x14:conditionalFormatting xmlns:xm="http://schemas.microsoft.com/office/excel/2006/main">
          <x14:cfRule type="dataBar" priority="295" id="{000000E0-00CD-4433-BC41-005700B900F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294" id="{0043008E-00EF-4DD7-B2C7-002D0082006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U154</xm:sqref>
        </x14:conditionalFormatting>
        <x14:conditionalFormatting xmlns:xm="http://schemas.microsoft.com/office/excel/2006/main">
          <x14:cfRule type="dataBar" priority="292" id="{006F0021-0010-44C1-A4A8-002200D700F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91" id="{00770088-00CE-437E-B5BA-00B000D200C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90" id="{001100BB-0067-48AD-BEA5-008700E0008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9" id="{00CB0003-0023-4CD7-AAA4-009500E800E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8" id="{00F7002B-0056-4735-8646-0035002500F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7" id="{0031001E-00EE-4AAA-9408-006600DB002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6" id="{00F6008D-00A8-460D-A32E-00EC00A500C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5" id="{00400033-00BA-4F46-8D9A-00B70022009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4" id="{00E7000D-0027-42BE-B942-00FC006800E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3" id="{003000DE-00AB-4461-8977-008D0073000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2" id="{00030054-0038-4373-A423-00AB00CB005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1" id="{00A600E1-009E-45C6-8791-006B000B005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80" id="{000800AC-00C8-4C05-B038-00BB00DE000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S154</xm:sqref>
        </x14:conditionalFormatting>
        <x14:conditionalFormatting xmlns:xm="http://schemas.microsoft.com/office/excel/2006/main">
          <x14:cfRule type="dataBar" priority="279" id="{003600CD-0094-48E5-9E52-00B50039003B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N154</xm:sqref>
        </x14:conditionalFormatting>
        <x14:conditionalFormatting xmlns:xm="http://schemas.microsoft.com/office/excel/2006/main">
          <x14:cfRule type="dataBar" priority="278" id="{000C00D5-00E8-41B1-B57B-00940078005F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N154</xm:sqref>
        </x14:conditionalFormatting>
        <x14:conditionalFormatting xmlns:xm="http://schemas.microsoft.com/office/excel/2006/main">
          <x14:cfRule type="dataBar" priority="277" id="{00E60060-008E-4BDF-9426-00AD004100F4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F154</xm:sqref>
        </x14:conditionalFormatting>
        <x14:conditionalFormatting xmlns:xm="http://schemas.microsoft.com/office/excel/2006/main">
          <x14:cfRule type="dataBar" priority="276" id="{001F007A-0057-45E4-8113-00AB001B006C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F154</xm:sqref>
        </x14:conditionalFormatting>
        <x14:conditionalFormatting xmlns:xm="http://schemas.microsoft.com/office/excel/2006/main">
          <x14:cfRule type="dataBar" priority="275" id="{002300AB-0089-49C4-A7CE-00BC00300090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F154</xm:sqref>
        </x14:conditionalFormatting>
        <x14:conditionalFormatting xmlns:xm="http://schemas.microsoft.com/office/excel/2006/main">
          <x14:cfRule type="dataBar" priority="274" id="{001C00BF-00CA-4028-9E67-00F5003F0002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F154</xm:sqref>
        </x14:conditionalFormatting>
        <x14:conditionalFormatting xmlns:xm="http://schemas.microsoft.com/office/excel/2006/main">
          <x14:cfRule type="dataBar" priority="273" id="{006700D1-0036-43FA-B76D-00D6006C000B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F154</xm:sqref>
        </x14:conditionalFormatting>
        <x14:conditionalFormatting xmlns:xm="http://schemas.microsoft.com/office/excel/2006/main">
          <x14:cfRule type="dataBar" priority="272" id="{00630055-0053-49D3-A356-00D9007C0051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N154</xm:sqref>
        </x14:conditionalFormatting>
        <x14:conditionalFormatting xmlns:xm="http://schemas.microsoft.com/office/excel/2006/main">
          <x14:cfRule type="dataBar" priority="271" id="{009D006A-0084-4C9B-BE85-00D900110083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S154</xm:sqref>
        </x14:conditionalFormatting>
        <x14:conditionalFormatting xmlns:xm="http://schemas.microsoft.com/office/excel/2006/main">
          <x14:cfRule type="dataBar" priority="270" id="{00350008-000F-462A-A337-0050005F00C4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T154</xm:sqref>
        </x14:conditionalFormatting>
        <x14:conditionalFormatting xmlns:xm="http://schemas.microsoft.com/office/excel/2006/main">
          <x14:cfRule type="dataBar" priority="269" id="{006500DC-00F1-4114-B2A2-002000DE007B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T154</xm:sqref>
        </x14:conditionalFormatting>
        <x14:conditionalFormatting xmlns:xm="http://schemas.microsoft.com/office/excel/2006/main">
          <x14:cfRule type="dataBar" priority="267" id="{008C00A4-00F0-4309-BB53-009B00B5006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N154</xm:sqref>
        </x14:conditionalFormatting>
        <x14:conditionalFormatting xmlns:xm="http://schemas.microsoft.com/office/excel/2006/main">
          <x14:cfRule type="dataBar" priority="265" id="{00C50039-003E-4601-8D78-00D4007D0001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U154</xm:sqref>
        </x14:conditionalFormatting>
        <x14:conditionalFormatting xmlns:xm="http://schemas.microsoft.com/office/excel/2006/main">
          <x14:cfRule type="dataBar" priority="264" id="{001300FD-00B9-4B98-90DA-00B10089009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U154</xm:sqref>
        </x14:conditionalFormatting>
        <x14:conditionalFormatting xmlns:xm="http://schemas.microsoft.com/office/excel/2006/main">
          <x14:cfRule type="dataBar" priority="262" id="{007D0011-0065-4C0F-A027-0089001E009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61" id="{009D00B0-0061-4F9C-8A21-00BD00AC001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60" id="{006100A5-0073-43C3-9972-003A008400D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259" id="{00A800A9-0026-4110-8D7F-0029005700F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58" id="{00B200D1-0064-4B97-811F-00530032004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257" id="{00CE004A-0087-49F0-B1C7-00D6008E0010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256" id="{00F4002F-0054-48F7-A712-00AE0084000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255" id="{00C30063-0033-487F-81EE-008A005800AB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254" id="{002C00AF-00E8-441B-9B4B-001700B7006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253" id="{00180035-0022-420C-A6CE-00D80085007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52" id="{00E30092-0016-4538-B905-00E600E400A6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51" id="{00B400B1-0002-4E4F-A0AB-009E001C006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50" id="{00280000-0060-4FB1-8D38-00B100C800B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249" id="{00A2000A-00C4-41FB-A32E-008F00D900E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248" id="{007500C3-00D2-4D06-86E1-004000F000A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47" id="{001D00F3-0013-4364-98B3-0062006200E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246" id="{00E900B5-00F2-4F04-8C91-00F100A400DC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245" id="{00B10068-00E5-4208-88AD-00DB004400C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244" id="{006A0051-0055-477B-B551-009100A800D6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243" id="{00A30038-009B-4CC7-97B6-00A800B400B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42" id="{00E6002D-00E5-411B-8C00-00300029003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41" id="{00C400E3-0015-49EE-8EA0-00AD0008002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240" id="{008000A3-00F2-4BC9-837E-00A0007400BE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239" id="{00260011-00D3-42E7-8D60-009B004B00A6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8" id="{005000FF-0097-4627-88B8-006A004100F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7" id="{007F0051-0065-4DC1-93D1-008200AC009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6" id="{008A0024-005B-41E4-AD2F-00B800F200D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5" id="{009000B4-0008-4393-9A11-00F700BF00A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4" id="{005500C1-00A7-49B5-88B0-00A8001E004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3" id="{00830094-0034-4CA9-AEE4-00E20044005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2" id="{004F0094-004B-4CA8-BADC-0027004D002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1" id="{00DE002D-0092-4F94-B6D2-00DD008B000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30" id="{00D100BB-0010-467D-827E-004F00D600B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9" id="{00F70081-007A-43D1-891C-00E6009D005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228" id="{00FE00BF-0095-42F3-8451-000100A800C7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227" id="{00DF0093-00C9-4B2F-B388-009B009D002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26" id="{004700ED-0000-41F2-9BF6-004500E2009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225" id="{00150067-00C6-4E4E-B09E-004500D3009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4" id="{001F0060-0045-41FE-810C-00850068006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3" id="{006400F0-0067-40C5-A0B0-00D400FC00E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2" id="{00D40082-006E-4A36-AB58-00800036004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1" id="{00FD00A5-00AB-4A8E-86EF-004400C7004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20" id="{00510030-00C0-416F-B4DE-005F002A001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9" id="{00B400E5-0053-4F6B-8318-0062000400B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8" id="{00150094-0072-4BD3-9E63-00F00065008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7" id="{009600C5-0049-4483-8AB0-00A400D8003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6" id="{00A00035-00D8-43E4-9159-00A80024007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5" id="{007300FD-0006-46EA-96F3-0021009700D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4" id="{00990054-00C7-4E5F-AD4C-003300ED006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3" id="{00B600B8-0026-4942-BB48-006100F9009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212" id="{001600D0-00CF-4E39-A0D2-009A0060004B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N155</xm:sqref>
        </x14:conditionalFormatting>
        <x14:conditionalFormatting xmlns:xm="http://schemas.microsoft.com/office/excel/2006/main">
          <x14:cfRule type="dataBar" priority="211" id="{006400C4-005B-4DF8-9F82-005E00F10066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N155</xm:sqref>
        </x14:conditionalFormatting>
        <x14:conditionalFormatting xmlns:xm="http://schemas.microsoft.com/office/excel/2006/main">
          <x14:cfRule type="dataBar" priority="210" id="{005D0041-00F8-42BE-9B18-00A300F70048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F155</xm:sqref>
        </x14:conditionalFormatting>
        <x14:conditionalFormatting xmlns:xm="http://schemas.microsoft.com/office/excel/2006/main">
          <x14:cfRule type="dataBar" priority="209" id="{001400EA-0038-4CC9-A5ED-007F00A300F1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F155</xm:sqref>
        </x14:conditionalFormatting>
        <x14:conditionalFormatting xmlns:xm="http://schemas.microsoft.com/office/excel/2006/main">
          <x14:cfRule type="dataBar" priority="208" id="{00B900E7-0014-4A53-AC7C-004400840098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F155</xm:sqref>
        </x14:conditionalFormatting>
        <x14:conditionalFormatting xmlns:xm="http://schemas.microsoft.com/office/excel/2006/main">
          <x14:cfRule type="dataBar" priority="207" id="{00EA0061-00CF-41A1-8326-000A00460005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F155</xm:sqref>
        </x14:conditionalFormatting>
        <x14:conditionalFormatting xmlns:xm="http://schemas.microsoft.com/office/excel/2006/main">
          <x14:cfRule type="dataBar" priority="206" id="{00EE00E2-00D3-43FD-9D5F-0092000500C6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F155</xm:sqref>
        </x14:conditionalFormatting>
        <x14:conditionalFormatting xmlns:xm="http://schemas.microsoft.com/office/excel/2006/main">
          <x14:cfRule type="dataBar" priority="205" id="{00320054-000B-489A-8BA9-002100620076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N155</xm:sqref>
        </x14:conditionalFormatting>
        <x14:conditionalFormatting xmlns:xm="http://schemas.microsoft.com/office/excel/2006/main">
          <x14:cfRule type="dataBar" priority="204" id="{00B2009C-00EB-44AC-BA72-00040098008F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S155</xm:sqref>
        </x14:conditionalFormatting>
        <x14:conditionalFormatting xmlns:xm="http://schemas.microsoft.com/office/excel/2006/main">
          <x14:cfRule type="dataBar" priority="203" id="{003C00BD-0011-4E75-831D-00AF00A60031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202" id="{00990001-00A3-4122-9D3C-00C1004F0016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201" id="{00BD00D2-002D-412E-B013-00D90022000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N155</xm:sqref>
        </x14:conditionalFormatting>
        <x14:conditionalFormatting xmlns:xm="http://schemas.microsoft.com/office/excel/2006/main">
          <x14:cfRule type="dataBar" priority="200" id="{00F30024-003C-4CC1-AD26-00A000D600C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99" id="{00FB0094-0083-4DE5-BCA9-00C600D400E2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98" id="{00FE008D-000F-45F8-9521-000E005500D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97" id="{005A001D-006F-4494-B222-009D00660031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96" id="{00DB00FA-00F1-46F9-AF30-00CC00BD004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95" id="{001500A5-00C7-4043-BD3B-003300C000C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94" id="{00F30013-0097-43C2-8C6F-000900B3001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93" id="{006500EB-0070-4220-A1A2-005300B000F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92" id="{006E0001-0066-43A9-AB85-006C00B8002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91" id="{0019007E-00BD-46FC-B8F4-001800350026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90" id="{001C0025-0041-451F-A54B-002E0088007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9" id="{00150077-0099-47E8-94B1-00AE007800F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8" id="{00700068-003D-404A-A04A-003B00E3005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7" id="{00AD0087-0058-4F3D-9CF1-00DA0080007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6" id="{00E8001C-0005-43F6-B96C-00DF00B500E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5" id="{00B5007B-0070-4463-8FAE-00F900CA007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4" id="{0066000E-0018-4BF4-8FBA-00AF00B7005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3" id="{00210083-005C-4441-8E5F-00D400E8009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82" id="{00E500F0-003D-4A68-9E4F-00210063001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181" id="{00AE001F-00C7-405A-B508-004B00E90007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180" id="{007F00D8-005A-46E7-B528-004C00CF007E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179" id="{001A00A5-00D9-4508-BAA5-005500AC004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78" id="{000A0089-0012-4403-B137-002200C6003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77" id="{001A0003-0094-489C-9002-007500D500F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76" id="{00ED00CA-0064-45AA-97CE-008C004F006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5" id="{00340033-0016-45F8-B316-0071001F001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4" id="{006200EB-0062-4B67-BE4D-00D8005500D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3" id="{005800ED-00BB-48F4-B6BD-00B80060003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2" id="{00ED00A2-006C-42DD-BA1D-00A20079000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1" id="{000600B9-0039-4B29-8538-00060013008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70" id="{002A0058-00D2-4DF3-98F7-00E70091008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9" id="{00D6007E-00EA-48CB-A92F-00FD0010003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8" id="{0019002E-002D-438D-8C27-008B0021006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7" id="{00FC0070-0057-4C6E-8E4D-009E0034004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6" id="{005B0006-004A-4529-B057-00F2005700E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5" id="{005200FC-0000-45EE-99CF-00820004005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4" id="{00F500C8-00C0-43B5-9743-00920087002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63" id="{00A6005F-00D0-4DBD-A6A8-005F006600F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162" id="{00F500AC-0088-499B-B206-008200510027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T155</xm:sqref>
        </x14:conditionalFormatting>
        <x14:conditionalFormatting xmlns:xm="http://schemas.microsoft.com/office/excel/2006/main">
          <x14:cfRule type="dataBar" priority="161" id="{005000CD-0017-422F-8F09-001B002E008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160" id="{00150049-00C8-4720-BC1B-00FF005F009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59" id="{00A00092-00D7-4378-ABBD-007800A8002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58" id="{002900BA-009D-439C-A91A-00F10014002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57" id="{008A004B-0071-4BEC-9E5B-00A400D500C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6" id="{00410005-0027-4613-9487-00DE004B00D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5" id="{007E00E8-00BF-4955-8052-002D007D00C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4" id="{00420099-00FC-4976-8C14-004200D900D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3" id="{007E0048-0089-48AE-B6BB-003D003D00D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2" id="{001C0028-0074-424D-8B6A-006F002600D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1" id="{00E900C5-004C-4715-845D-0064005600F2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50" id="{00D500DE-00F2-4104-AA7F-00590007002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9" id="{0079005B-00DB-43A5-B14E-0093001C002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8" id="{0031006A-0088-443F-A384-006000CA0001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7" id="{004100DD-003D-4D1B-921A-007800CF00D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6" id="{0057001E-00BB-4428-9ECF-00DD0036004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5" id="{008D00F5-008F-428C-87EC-003400B100D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4" id="{00BC00CA-0045-49DE-ACE5-00DB0055005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3" id="{00C30071-008D-427F-9017-00B00042001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42" id="{00E10042-002A-4709-8730-000C004E00C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41" id="{006000F4-0053-4506-9115-005D007600D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40" id="{00290043-00C3-4914-9ECE-00F900CF00A8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39" id="{00440047-00CA-4B81-8590-005900F3000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38" id="{00580002-0072-4A7D-BA8A-00300053001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37" id="{005B004F-00B3-4DB3-B2A4-00BF006000E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36" id="{001000C0-0025-490B-9564-00E20048008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35" id="{00FB00DE-00DB-46E3-A7A0-00940019001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34" id="{00690005-001F-4580-B12F-001C000E002F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33" id="{00FA008D-00A7-4178-8583-005800C4007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32" id="{00AD000A-0051-4294-836C-0091006F00E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31" id="{00A90048-0024-4B7A-9E79-0046009E006A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30" id="{0003001C-005A-4784-8BE3-00550065003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29" id="{000C0091-00C2-461C-98FB-00350075001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28" id="{00DF0073-0011-4F74-844D-00060023003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27" id="{001100D2-0075-43DE-AE05-002C00BA00AF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26" id="{00A10061-00E0-4882-A05D-00C4002800D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S155</xm:sqref>
        </x14:conditionalFormatting>
        <x14:conditionalFormatting xmlns:xm="http://schemas.microsoft.com/office/excel/2006/main">
          <x14:cfRule type="dataBar" priority="125" id="{008A007E-00CA-4F58-9471-00380096005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F155</xm:sqref>
        </x14:conditionalFormatting>
        <x14:conditionalFormatting xmlns:xm="http://schemas.microsoft.com/office/excel/2006/main">
          <x14:cfRule type="dataBar" priority="124" id="{00450040-00C4-4D95-B4C1-0051008400E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N155</xm:sqref>
        </x14:conditionalFormatting>
        <x14:conditionalFormatting xmlns:xm="http://schemas.microsoft.com/office/excel/2006/main">
          <x14:cfRule type="dataBar" priority="123" id="{00BC006E-0041-40E2-A633-006E006D007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22" id="{0068008D-007B-4D12-9CFF-001A00320069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21" id="{007C00F4-0058-468F-B4A2-00DA00C50011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20" id="{008800B7-001E-4409-B610-00DE004500DC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19" id="{00CF0029-0053-4A66-BD60-00E50025008B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U155</xm:sqref>
        </x14:conditionalFormatting>
        <x14:conditionalFormatting xmlns:xm="http://schemas.microsoft.com/office/excel/2006/main">
          <x14:cfRule type="dataBar" priority="118" id="{00CF00FF-0048-4CBE-B63D-00BB00430085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N155</xm:sqref>
        </x14:conditionalFormatting>
        <x14:conditionalFormatting xmlns:xm="http://schemas.microsoft.com/office/excel/2006/main">
          <x14:cfRule type="dataBar" priority="117" id="{000E0019-002D-4F31-B3DB-003900D9000D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N155</xm:sqref>
        </x14:conditionalFormatting>
        <x14:conditionalFormatting xmlns:xm="http://schemas.microsoft.com/office/excel/2006/main">
          <x14:cfRule type="dataBar" priority="116" id="{00A10003-0037-4A16-BAF2-008000F70072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F155</xm:sqref>
        </x14:conditionalFormatting>
        <x14:conditionalFormatting xmlns:xm="http://schemas.microsoft.com/office/excel/2006/main">
          <x14:cfRule type="dataBar" priority="115" id="{00C00092-0038-443B-A20C-000F00E8005C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F155</xm:sqref>
        </x14:conditionalFormatting>
        <x14:conditionalFormatting xmlns:xm="http://schemas.microsoft.com/office/excel/2006/main">
          <x14:cfRule type="dataBar" priority="114" id="{00A3000A-0057-4D95-A354-0058004D007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F155</xm:sqref>
        </x14:conditionalFormatting>
        <x14:conditionalFormatting xmlns:xm="http://schemas.microsoft.com/office/excel/2006/main">
          <x14:cfRule type="dataBar" priority="113" id="{00E20070-0059-4770-A0F7-004000430031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N155</xm:sqref>
        </x14:conditionalFormatting>
        <x14:conditionalFormatting xmlns:xm="http://schemas.microsoft.com/office/excel/2006/main">
          <x14:cfRule type="dataBar" priority="112" id="{00840008-0061-4927-8300-005D00F00051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S155</xm:sqref>
        </x14:conditionalFormatting>
        <x14:conditionalFormatting xmlns:xm="http://schemas.microsoft.com/office/excel/2006/main">
          <x14:cfRule type="dataBar" priority="111" id="{00CC0045-00D9-4350-9C55-00470017004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T155</xm:sqref>
        </x14:conditionalFormatting>
        <x14:conditionalFormatting xmlns:xm="http://schemas.microsoft.com/office/excel/2006/main">
          <x14:cfRule type="dataBar" priority="110" id="{0026005F-0010-47F5-A141-0006009D0027}">
            <x14:dataBar maxLength="90" minLength="10" axisPosition="automatic" direction="context">
              <x14:cfvo type="num">
                <xm:f>0</xm:f>
              </x14:cfvo>
              <x14:cfvo type="max"/>
              <x14:fillColor rgb="FF008AEF"/>
            </x14:dataBar>
          </x14:cfRule>
          <xm:sqref>T155</xm:sqref>
        </x14:conditionalFormatting>
        <x14:conditionalFormatting xmlns:xm="http://schemas.microsoft.com/office/excel/2006/main">
          <x14:cfRule type="dataBar" priority="109" id="{004A00A5-00F9-46F9-97D8-0088009F005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U155</xm:sqref>
        </x14:conditionalFormatting>
        <x14:conditionalFormatting xmlns:xm="http://schemas.microsoft.com/office/excel/2006/main">
          <x14:cfRule type="dataBar" priority="104" id="{00AD0095-00B9-4964-AE08-00B1000300E9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F166</xm:sqref>
        </x14:conditionalFormatting>
        <x14:conditionalFormatting xmlns:xm="http://schemas.microsoft.com/office/excel/2006/main">
          <x14:cfRule type="dataBar" priority="103" id="{00DC00ED-0078-45B5-91D8-003200DC00D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F166</xm:sqref>
        </x14:conditionalFormatting>
        <x14:conditionalFormatting xmlns:xm="http://schemas.microsoft.com/office/excel/2006/main">
          <x14:cfRule type="dataBar" priority="102" id="{00570030-00F8-4404-A86E-009900F3001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F167</xm:sqref>
        </x14:conditionalFormatting>
        <x14:conditionalFormatting xmlns:xm="http://schemas.microsoft.com/office/excel/2006/main">
          <x14:cfRule type="dataBar" priority="101" id="{009B00DB-00C0-40B2-AE1B-001B00B9009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S166</xm:sqref>
        </x14:conditionalFormatting>
        <x14:conditionalFormatting xmlns:xm="http://schemas.microsoft.com/office/excel/2006/main">
          <x14:cfRule type="dataBar" priority="100" id="{001600D5-0041-4845-AD24-00AC008C00C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F166</xm:sqref>
        </x14:conditionalFormatting>
        <x14:conditionalFormatting xmlns:xm="http://schemas.microsoft.com/office/excel/2006/main">
          <x14:cfRule type="dataBar" priority="99" id="{009500AF-0024-417F-A255-00370007001D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N166</xm:sqref>
        </x14:conditionalFormatting>
        <x14:conditionalFormatting xmlns:xm="http://schemas.microsoft.com/office/excel/2006/main">
          <x14:cfRule type="dataBar" priority="98" id="{00D90073-00D0-4441-BF8B-009F0048001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F6</xm:sqref>
        </x14:conditionalFormatting>
        <x14:conditionalFormatting xmlns:xm="http://schemas.microsoft.com/office/excel/2006/main">
          <x14:cfRule type="dataBar" priority="97" id="{001200D6-0045-484F-BDDD-006A008E008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F6</xm:sqref>
        </x14:conditionalFormatting>
        <x14:conditionalFormatting xmlns:xm="http://schemas.microsoft.com/office/excel/2006/main">
          <x14:cfRule type="dataBar" priority="96" id="{00E2002D-000F-40C4-A8AA-003A008300D1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N153</xm:sqref>
        </x14:conditionalFormatting>
        <x14:conditionalFormatting xmlns:xm="http://schemas.microsoft.com/office/excel/2006/main">
          <x14:cfRule type="dataBar" priority="95" id="{00A1002B-0064-4589-8097-00B500640016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94" id="{002300C7-0030-499A-9356-00BD00CA00A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T153:U153</xm:sqref>
        </x14:conditionalFormatting>
        <x14:conditionalFormatting xmlns:xm="http://schemas.microsoft.com/office/excel/2006/main">
          <x14:cfRule type="dataBar" priority="93" id="{00470020-0035-4A76-A1EF-005E003100BF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S153</xm:sqref>
        </x14:conditionalFormatting>
        <x14:conditionalFormatting xmlns:xm="http://schemas.microsoft.com/office/excel/2006/main">
          <x14:cfRule type="dataBar" priority="92" id="{0080005E-008A-4369-995A-005D005A00B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91" id="{00250019-0041-4078-ABE2-0016001300EF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90" id="{00C500C9-00DA-4606-9AC4-001300D6000B}">
            <x14:dataBar maxLength="90" minLength="10" axisPosition="automatic" direction="context">
              <x14:cfvo type="num">
                <xm:f>0</xm:f>
              </x14:cfvo>
              <x14:cfvo type="max"/>
              <x14:fillColor rgb="FF008AEF"/>
            </x14:dataBar>
          </x14:cfRule>
          <xm:sqref>T153</xm:sqref>
        </x14:conditionalFormatting>
        <x14:conditionalFormatting xmlns:xm="http://schemas.microsoft.com/office/excel/2006/main">
          <x14:cfRule type="dataBar" priority="89" id="{001500C8-00F4-405D-880C-00D30028000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F153</xm:sqref>
        </x14:conditionalFormatting>
        <x14:conditionalFormatting xmlns:xm="http://schemas.microsoft.com/office/excel/2006/main">
          <x14:cfRule type="dataBar" priority="88" id="{009F0038-00F0-47B0-AFBB-00910025004E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87" id="{009A00A0-0030-408F-A991-0017004E0003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86" id="{009800D2-000A-458D-9325-004000B30006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N153</xm:sqref>
        </x14:conditionalFormatting>
        <x14:conditionalFormatting xmlns:xm="http://schemas.microsoft.com/office/excel/2006/main">
          <x14:cfRule type="dataBar" priority="85" id="{00E800A4-00E1-4299-9726-001900A50032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N153</xm:sqref>
        </x14:conditionalFormatting>
        <x14:conditionalFormatting xmlns:xm="http://schemas.microsoft.com/office/excel/2006/main">
          <x14:cfRule type="dataBar" priority="84" id="{00290056-00D8-4D25-A7BA-00A000350007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83" id="{00A3004F-0045-469D-A1AD-00A4006D002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82" id="{00CC001E-0081-4E9A-959B-00AF009000F8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81" id="{002000A8-00FF-4319-B999-005B00380027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80" id="{00460083-002D-4F20-979B-00D700480034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79" id="{006500DA-004B-456C-A223-00FB0027009A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78" id="{00320041-0009-420B-A0E0-00EB008A00D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77" id="{00CF007B-009B-449B-9D0D-00F3009C0041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76" id="{001B004B-00AC-4680-935B-0029005300E4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75" id="{006C00A5-002D-4B91-BD47-0052004600D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74" id="{00DB00F5-0022-409A-895A-00E1009000B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73" id="{00670029-00B2-4D83-A3F7-003600E800BE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72" id="{00D300A0-00B7-43FF-AC6F-006C00520005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71" id="{00D700FB-00B9-4920-8F6D-001300F300F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70" id="{00BE00BF-008E-4FFF-B6BF-009900DD004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69" id="{00AC0061-0040-4BA7-93A2-001700F50076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68" id="{00820065-00D2-4984-B02E-003200CD0093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67" id="{007B00BC-000C-4A31-B564-0011007800C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66" id="{005B00A7-001D-42E4-A53E-005E005600E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65" id="{00920067-00B6-46FF-A379-005500BE001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64" id="{0031008A-0089-426B-A339-002400990084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63" id="{009100AE-00D3-47A8-BB69-0016009B000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62" id="{003D0068-0021-422A-89B9-007A000C002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61" id="{00F80071-005E-4674-B11E-00F700BD00E0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60" id="{001F0094-008B-471E-9A9B-0000009500F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59" id="{00A60060-0000-427D-9877-005200AA0026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N153</xm:sqref>
        </x14:conditionalFormatting>
        <x14:conditionalFormatting xmlns:xm="http://schemas.microsoft.com/office/excel/2006/main">
          <x14:cfRule type="dataBar" priority="58" id="{00DC0074-001C-48FC-A2F7-00B400DA000D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S153</xm:sqref>
        </x14:conditionalFormatting>
        <x14:conditionalFormatting xmlns:xm="http://schemas.microsoft.com/office/excel/2006/main">
          <x14:cfRule type="dataBar" priority="57" id="{00C10046-002C-4BCA-B0FF-00BB006B00D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56" id="{00F800FE-00B8-4BD1-B08E-0024004600C1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55" id="{005E0087-0026-4F51-AA1B-00C60051006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54" id="{003100D9-0009-4E57-81FF-0095003B000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53" id="{00810000-00C5-47C0-B262-007F00940075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52" id="{004000D5-005E-4ADD-AE97-00600025000C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51" id="{00C3005F-00A8-49C2-9E83-0021009C00A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50" id="{0073006C-0099-44FE-BB22-00C000F500E3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49" id="{00BD006E-00B3-41B1-8C61-00B200EB002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8" id="{00DC00F6-0070-4C2D-BFA5-009A00CE00D8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7" id="{00A20092-003D-4CBF-A5F4-00DD0017000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F153</xm:sqref>
        </x14:conditionalFormatting>
        <x14:conditionalFormatting xmlns:xm="http://schemas.microsoft.com/office/excel/2006/main">
          <x14:cfRule type="dataBar" priority="46" id="{001900A4-0048-4AEC-BC6D-00DC00520032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N153</xm:sqref>
        </x14:conditionalFormatting>
        <x14:conditionalFormatting xmlns:xm="http://schemas.microsoft.com/office/excel/2006/main">
          <x14:cfRule type="dataBar" priority="45" id="{00E100A2-0075-4A09-B733-00070056003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4" id="{00B8004D-008D-4BAC-A85A-0097003C004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3" id="{009A0005-0019-4A68-943A-0087002B00A4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2" id="{005E0071-006E-482A-9E08-00CA00E1006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1" id="{003100B0-00E5-47ED-94F3-0043007800C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40" id="{00780086-00F0-43D4-BE40-00A20047002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39" id="{0092001D-00E0-4526-8FAC-00DB000D001B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38" id="{001B0049-005A-4156-BA83-00E900E700C1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37" id="{009300F1-0099-4571-B14F-00E9008C00D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36" id="{009F002C-00E7-4684-BBBC-0061009400E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35" id="{00A900AD-003F-47E7-9A0D-0022000700F5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34" id="{00C40097-00DE-44F1-BF42-009400970026}">
            <x14:dataBar maxLength="100" minLength="0" axisPosition="automatic" direction="context" gradient="0">
              <x14:cfvo type="autoMin"/>
              <x14:cfvo type="autoMax"/>
              <x14:fillColor rgb="FF008AEF"/>
              <x14:negativeFillColor indexed="2"/>
              <x14:axisColor indexed="64"/>
            </x14:dataBar>
          </x14:cfRule>
          <xm:sqref>T153</xm:sqref>
        </x14:conditionalFormatting>
        <x14:conditionalFormatting xmlns:xm="http://schemas.microsoft.com/office/excel/2006/main">
          <x14:cfRule type="dataBar" priority="33" id="{00FB006F-0075-491A-BA85-00840081006A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32" id="{00AC002C-00DC-42B7-B23D-00AF00D0000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31" id="{00B40074-0075-4A8D-8A32-00C8004E00E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U153</xm:sqref>
        </x14:conditionalFormatting>
        <x14:conditionalFormatting xmlns:xm="http://schemas.microsoft.com/office/excel/2006/main">
          <x14:cfRule type="dataBar" priority="30" id="{005100C2-00C8-43E6-8EC2-00300008000C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29" id="{00C5005E-009C-4EBB-907E-002D00460049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8" id="{00CD00D0-007F-4FEA-8F8D-0052000E006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7" id="{001A000F-000C-450D-B390-0098009800C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6" id="{0050004C-00DA-4A07-84AD-0018003F001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5" id="{008100A0-0012-4115-9B13-00B400790020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4" id="{003F00D8-0075-4972-815D-00A500F3002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3" id="{00920034-00A9-467D-86F3-009A0070000D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2" id="{00460041-00DA-4126-875F-008D004C00E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1" id="{002800EA-00C2-4307-82B4-002200F50053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20" id="{00110067-000A-4104-9B1B-0032008F00B5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19" id="{0094008A-0060-48AB-B2AC-002C0001007B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18" id="{0045001A-00C5-46F1-A29C-0084001700AD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17" id="{00B400EA-0098-45FE-B2E7-00AE003C00BA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S153</xm:sqref>
        </x14:conditionalFormatting>
        <x14:conditionalFormatting xmlns:xm="http://schemas.microsoft.com/office/excel/2006/main">
          <x14:cfRule type="dataBar" priority="16" id="{00A2003E-0042-4C27-BDC8-00DB001C0028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N153</xm:sqref>
        </x14:conditionalFormatting>
        <x14:conditionalFormatting xmlns:xm="http://schemas.microsoft.com/office/excel/2006/main">
          <x14:cfRule type="dataBar" priority="15" id="{00770083-0024-49CA-969E-009A006A0044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N153</xm:sqref>
        </x14:conditionalFormatting>
        <x14:conditionalFormatting xmlns:xm="http://schemas.microsoft.com/office/excel/2006/main">
          <x14:cfRule type="dataBar" priority="14" id="{00870072-0065-49CD-B28B-004B0007003B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13" id="{00E00053-0033-4FB8-8AE3-0049002000A1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F153</xm:sqref>
        </x14:conditionalFormatting>
        <x14:conditionalFormatting xmlns:xm="http://schemas.microsoft.com/office/excel/2006/main">
          <x14:cfRule type="dataBar" priority="12" id="{00B50019-004B-4971-A367-000D002F0050}">
            <x14:dataBar maxLength="90" minLength="10" axisPosition="automatic" direction="context">
              <x14:cfvo type="num">
                <xm:f>0</xm:f>
              </x14:cfvo>
              <x14:cfvo type="max"/>
              <x14:fillColor rgb="FFFF1515"/>
            </x14:dataBar>
          </x14:cfRule>
          <xm:sqref>F153</xm:sqref>
        </x14:conditionalFormatting>
        <x14:conditionalFormatting xmlns:xm="http://schemas.microsoft.com/office/excel/2006/main">
          <x14:cfRule type="dataBar" priority="11" id="{001200F7-0027-4AD7-A087-00A400B300B5}">
            <x14:dataBar maxLength="90" minLength="10" axisPosition="automatic" direction="context">
              <x14:cfvo type="num">
                <xm:f>0</xm:f>
              </x14:cfvo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10" id="{00480083-00B1-45A7-9B5E-003F0042002F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F153</xm:sqref>
        </x14:conditionalFormatting>
        <x14:conditionalFormatting xmlns:xm="http://schemas.microsoft.com/office/excel/2006/main">
          <x14:cfRule type="dataBar" priority="9" id="{0050006A-003B-4900-B2ED-00E700CD00D1}">
            <x14:dataBar maxLength="90" minLength="10" axisPosition="automatic" direction="context">
              <x14:cfvo type="min"/>
              <x14:cfvo type="max"/>
              <x14:fillColor rgb="FF63C384"/>
            </x14:dataBar>
          </x14:cfRule>
          <xm:sqref>N153</xm:sqref>
        </x14:conditionalFormatting>
        <x14:conditionalFormatting xmlns:xm="http://schemas.microsoft.com/office/excel/2006/main">
          <x14:cfRule type="dataBar" priority="8" id="{00770091-00E0-45C2-AEF2-00C70077006A}">
            <x14:dataBar maxLength="90" minLength="10" axisPosition="automatic" direction="context">
              <x14:cfvo type="min"/>
              <x14:cfvo type="max"/>
              <x14:fillColor rgb="FFFFB628"/>
            </x14:dataBar>
          </x14:cfRule>
          <xm:sqref>S153</xm:sqref>
        </x14:conditionalFormatting>
        <x14:conditionalFormatting xmlns:xm="http://schemas.microsoft.com/office/excel/2006/main">
          <x14:cfRule type="dataBar" priority="7" id="{008C007D-00EE-4E5D-99EE-00F700350093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6" id="{003F001F-000B-436E-B4DC-008800BC0030}">
            <x14:dataBar maxLength="90" minLength="10" axisPosition="automatic" direction="context">
              <x14:cfvo type="num">
                <xm:f>0</xm:f>
              </x14:cfvo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5" id="{00AB0029-0034-4E41-ACB3-00C9000600D8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N153</xm:sqref>
        </x14:conditionalFormatting>
        <x14:conditionalFormatting xmlns:xm="http://schemas.microsoft.com/office/excel/2006/main">
          <x14:cfRule type="dataBar" priority="4" id="{006500E5-0018-4AD1-8159-008700F100AB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T153</xm:sqref>
        </x14:conditionalFormatting>
        <x14:conditionalFormatting xmlns:xm="http://schemas.microsoft.com/office/excel/2006/main">
          <x14:cfRule type="dataBar" priority="3" id="{00FA0036-004C-47CA-8942-00CF00DC004D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2" id="{00A200B6-00F0-4ECA-9AAF-00D100BE0009}">
            <x14:dataBar maxLength="90" minLength="10" axisPosition="automatic" direction="context">
              <x14:cfvo type="min"/>
              <x14:cfvo type="max"/>
              <x14:fillColor rgb="FF638EC6"/>
            </x14:dataBar>
          </x14:cfRule>
          <xm:sqref>U153</xm:sqref>
        </x14:conditionalFormatting>
        <x14:conditionalFormatting xmlns:xm="http://schemas.microsoft.com/office/excel/2006/main">
          <x14:cfRule type="dataBar" priority="1" id="{005F00E4-00A5-40B4-9259-007B008000F7}">
            <x14:dataBar maxLength="90" minLength="10" axisPosition="automatic" direction="context">
              <x14:cfvo type="min"/>
              <x14:cfvo type="max"/>
              <x14:fillColor rgb="FFFF555A"/>
            </x14:dataBar>
          </x14:cfRule>
          <xm:sqref>F153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topLeftCell="A13" zoomScale="100" workbookViewId="0">
      <selection activeCell="I31" activeCellId="0" sqref="I31"/>
    </sheetView>
  </sheetViews>
  <sheetFormatPr defaultRowHeight="15"/>
  <cols>
    <col customWidth="1" min="18" max="18" width="9.5703125"/>
  </cols>
  <sheetData>
    <row r="1">
      <c r="A1" s="55" t="s">
        <v>152</v>
      </c>
      <c r="B1" s="56" t="s">
        <v>153</v>
      </c>
    </row>
    <row r="2">
      <c r="A2" s="57">
        <v>200</v>
      </c>
      <c r="B2" s="58">
        <v>1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>
      <c r="A3" s="59">
        <f t="shared" ref="A3:A12" si="32">A2+90+B2*30</f>
        <v>320</v>
      </c>
      <c r="B3" s="58">
        <v>2</v>
      </c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</row>
    <row r="4">
      <c r="A4" s="59">
        <f t="shared" si="32"/>
        <v>470</v>
      </c>
      <c r="B4" s="58">
        <v>3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</row>
    <row r="5">
      <c r="A5" s="59">
        <f t="shared" si="32"/>
        <v>650</v>
      </c>
      <c r="B5" s="58">
        <v>4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</row>
    <row r="6">
      <c r="A6" s="59">
        <f t="shared" si="32"/>
        <v>860</v>
      </c>
      <c r="B6" s="58">
        <v>5</v>
      </c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</row>
    <row r="7">
      <c r="A7" s="59">
        <f t="shared" si="32"/>
        <v>1100</v>
      </c>
      <c r="B7" s="58">
        <v>6</v>
      </c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</row>
    <row r="8">
      <c r="A8" s="59">
        <f t="shared" si="32"/>
        <v>1370</v>
      </c>
      <c r="B8" s="58">
        <v>7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</row>
    <row r="9">
      <c r="A9" s="59">
        <f t="shared" si="32"/>
        <v>1670</v>
      </c>
      <c r="B9" s="58">
        <v>8</v>
      </c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</row>
    <row r="10">
      <c r="A10" s="59">
        <f t="shared" si="32"/>
        <v>2000</v>
      </c>
      <c r="B10" s="58">
        <v>9</v>
      </c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</row>
    <row r="11">
      <c r="A11" s="59">
        <f t="shared" si="32"/>
        <v>2360</v>
      </c>
      <c r="B11" s="58">
        <v>10</v>
      </c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</row>
    <row r="12">
      <c r="A12" s="59">
        <f t="shared" si="32"/>
        <v>2750</v>
      </c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</row>
    <row r="13"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</row>
    <row r="14"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</row>
    <row r="25">
      <c r="B25" s="60" t="s">
        <v>154</v>
      </c>
    </row>
    <row r="27">
      <c r="B27" t="s">
        <v>155</v>
      </c>
      <c r="C27" t="s">
        <v>156</v>
      </c>
      <c r="D27" t="s">
        <v>157</v>
      </c>
      <c r="E27" t="s">
        <v>158</v>
      </c>
      <c r="G27" t="s">
        <v>159</v>
      </c>
      <c r="H27" t="s">
        <v>160</v>
      </c>
      <c r="I27" t="s">
        <v>161</v>
      </c>
      <c r="J27" t="s">
        <v>162</v>
      </c>
      <c r="M27" t="s">
        <v>163</v>
      </c>
      <c r="N27" t="s">
        <v>164</v>
      </c>
      <c r="O27" t="s">
        <v>165</v>
      </c>
      <c r="P27" t="s">
        <v>166</v>
      </c>
      <c r="R27" t="s">
        <v>167</v>
      </c>
      <c r="S27" t="s">
        <v>168</v>
      </c>
      <c r="T27" t="s">
        <v>169</v>
      </c>
      <c r="U27" t="s">
        <v>170</v>
      </c>
    </row>
    <row r="29">
      <c r="B29" t="s">
        <v>171</v>
      </c>
      <c r="C29" t="s">
        <v>172</v>
      </c>
      <c r="D29" t="s">
        <v>173</v>
      </c>
      <c r="E29" t="s">
        <v>174</v>
      </c>
      <c r="G29" t="s">
        <v>175</v>
      </c>
      <c r="H29" t="s">
        <v>176</v>
      </c>
      <c r="I29" t="s">
        <v>177</v>
      </c>
      <c r="J29" t="s">
        <v>178</v>
      </c>
      <c r="M29" t="s">
        <v>179</v>
      </c>
      <c r="N29" t="s">
        <v>180</v>
      </c>
      <c r="O29" t="s">
        <v>181</v>
      </c>
      <c r="P29" t="s">
        <v>182</v>
      </c>
      <c r="R29" t="s">
        <v>183</v>
      </c>
      <c r="S29" t="s">
        <v>184</v>
      </c>
      <c r="T29" t="s">
        <v>185</v>
      </c>
      <c r="U29" s="46" t="s">
        <v>186</v>
      </c>
    </row>
    <row r="32">
      <c r="B32" s="60" t="s">
        <v>187</v>
      </c>
    </row>
    <row r="34">
      <c r="B34" t="s">
        <v>188</v>
      </c>
      <c r="C34" t="s">
        <v>189</v>
      </c>
      <c r="D34" t="s">
        <v>190</v>
      </c>
      <c r="E34" t="s">
        <v>191</v>
      </c>
      <c r="G34" t="s">
        <v>192</v>
      </c>
      <c r="H34" t="s">
        <v>193</v>
      </c>
      <c r="I34" t="s">
        <v>194</v>
      </c>
      <c r="J34" t="s">
        <v>195</v>
      </c>
      <c r="L34" t="s">
        <v>196</v>
      </c>
      <c r="M34" t="s">
        <v>197</v>
      </c>
      <c r="N34" t="s">
        <v>198</v>
      </c>
      <c r="O34" t="s">
        <v>199</v>
      </c>
      <c r="Q34" t="s">
        <v>200</v>
      </c>
      <c r="R34" t="s">
        <v>201</v>
      </c>
      <c r="S34" t="s">
        <v>202</v>
      </c>
      <c r="T34" s="46" t="s">
        <v>203</v>
      </c>
    </row>
    <row r="36">
      <c r="B36" t="s">
        <v>204</v>
      </c>
      <c r="C36" t="s">
        <v>205</v>
      </c>
      <c r="D36" t="s">
        <v>206</v>
      </c>
      <c r="E36" t="s">
        <v>207</v>
      </c>
      <c r="G36" t="s">
        <v>208</v>
      </c>
      <c r="H36" t="s">
        <v>209</v>
      </c>
      <c r="I36" t="s">
        <v>210</v>
      </c>
      <c r="J36" t="s">
        <v>211</v>
      </c>
      <c r="L36" t="s">
        <v>212</v>
      </c>
      <c r="M36" t="s">
        <v>175</v>
      </c>
      <c r="N36" t="s">
        <v>213</v>
      </c>
      <c r="O36" t="s">
        <v>180</v>
      </c>
      <c r="Q36" t="s">
        <v>214</v>
      </c>
      <c r="R36" t="s">
        <v>215</v>
      </c>
      <c r="S36" t="s">
        <v>216</v>
      </c>
      <c r="T36" t="s">
        <v>217</v>
      </c>
    </row>
    <row r="39">
      <c r="B39" s="60" t="s">
        <v>218</v>
      </c>
    </row>
    <row r="41">
      <c r="B41" t="s">
        <v>219</v>
      </c>
      <c r="C41" t="s">
        <v>220</v>
      </c>
      <c r="D41" t="s">
        <v>221</v>
      </c>
      <c r="E41" t="s">
        <v>222</v>
      </c>
      <c r="G41" t="s">
        <v>223</v>
      </c>
      <c r="H41" t="s">
        <v>224</v>
      </c>
      <c r="I41" t="s">
        <v>225</v>
      </c>
      <c r="J41" t="s">
        <v>226</v>
      </c>
      <c r="L41" t="s">
        <v>227</v>
      </c>
      <c r="M41" t="s">
        <v>228</v>
      </c>
      <c r="N41" t="s">
        <v>229</v>
      </c>
      <c r="O41" t="s">
        <v>230</v>
      </c>
      <c r="Q41" t="s">
        <v>231</v>
      </c>
      <c r="R41" t="s">
        <v>232</v>
      </c>
      <c r="S41" t="s">
        <v>233</v>
      </c>
      <c r="T41" t="s">
        <v>234</v>
      </c>
    </row>
    <row r="43">
      <c r="B43" t="s">
        <v>235</v>
      </c>
      <c r="C43" t="s">
        <v>236</v>
      </c>
      <c r="D43" t="s">
        <v>237</v>
      </c>
      <c r="E43" t="s">
        <v>238</v>
      </c>
      <c r="G43" t="s">
        <v>239</v>
      </c>
      <c r="H43" t="s">
        <v>240</v>
      </c>
      <c r="I43" t="s">
        <v>241</v>
      </c>
      <c r="J43" t="s">
        <v>242</v>
      </c>
      <c r="L43" t="s">
        <v>243</v>
      </c>
      <c r="M43" t="s">
        <v>244</v>
      </c>
      <c r="N43" t="s">
        <v>245</v>
      </c>
      <c r="O43" t="s">
        <v>246</v>
      </c>
      <c r="Q43" t="s">
        <v>247</v>
      </c>
      <c r="R43" t="s">
        <v>248</v>
      </c>
      <c r="S43" s="46" t="s">
        <v>249</v>
      </c>
      <c r="T43" t="s">
        <v>250</v>
      </c>
    </row>
    <row r="45">
      <c r="B45" t="s">
        <v>251</v>
      </c>
      <c r="C45" t="s">
        <v>252</v>
      </c>
      <c r="D45" t="s">
        <v>253</v>
      </c>
      <c r="E45" t="s">
        <v>254</v>
      </c>
      <c r="G45" t="s">
        <v>255</v>
      </c>
      <c r="H45" t="s">
        <v>256</v>
      </c>
      <c r="I45" t="s">
        <v>257</v>
      </c>
      <c r="J45" t="s">
        <v>258</v>
      </c>
      <c r="L45" t="s">
        <v>259</v>
      </c>
      <c r="M45" t="s">
        <v>260</v>
      </c>
      <c r="N45" t="s">
        <v>261</v>
      </c>
      <c r="O45" t="s">
        <v>262</v>
      </c>
      <c r="Q45" t="s">
        <v>263</v>
      </c>
      <c r="R45" t="s">
        <v>264</v>
      </c>
      <c r="S45" t="s">
        <v>265</v>
      </c>
      <c r="T45" t="s">
        <v>266</v>
      </c>
    </row>
    <row r="47">
      <c r="B47" t="s">
        <v>267</v>
      </c>
      <c r="C47" t="s">
        <v>268</v>
      </c>
      <c r="D47" t="s">
        <v>269</v>
      </c>
      <c r="E47" t="s">
        <v>270</v>
      </c>
      <c r="G47" t="s">
        <v>271</v>
      </c>
      <c r="H47" t="s">
        <v>272</v>
      </c>
      <c r="I47" t="s">
        <v>273</v>
      </c>
      <c r="J47" t="s">
        <v>274</v>
      </c>
      <c r="L47" s="46" t="s">
        <v>275</v>
      </c>
      <c r="M47" s="46" t="s">
        <v>276</v>
      </c>
      <c r="N47" t="s">
        <v>277</v>
      </c>
      <c r="O47" t="s">
        <v>278</v>
      </c>
      <c r="Q47" s="61" t="s">
        <v>279</v>
      </c>
      <c r="R47" s="61" t="s">
        <v>280</v>
      </c>
      <c r="S47" s="61" t="s">
        <v>281</v>
      </c>
      <c r="T47" s="61" t="s">
        <v>282</v>
      </c>
    </row>
    <row r="50">
      <c r="B50" s="61" t="s">
        <v>283</v>
      </c>
      <c r="C50" s="61" t="s">
        <v>283</v>
      </c>
      <c r="D50" s="61" t="s">
        <v>283</v>
      </c>
      <c r="E50" s="61" t="s">
        <v>283</v>
      </c>
      <c r="G50" s="61" t="s">
        <v>283</v>
      </c>
      <c r="H50" s="61" t="s">
        <v>283</v>
      </c>
      <c r="I50" s="61" t="s">
        <v>283</v>
      </c>
      <c r="J50" s="61" t="s">
        <v>283</v>
      </c>
      <c r="L50" s="61" t="s">
        <v>283</v>
      </c>
      <c r="M50" s="61" t="s">
        <v>283</v>
      </c>
      <c r="N50" s="61" t="s">
        <v>283</v>
      </c>
      <c r="O50" s="61" t="s">
        <v>283</v>
      </c>
      <c r="Q50" s="61" t="s">
        <v>283</v>
      </c>
      <c r="R50" s="61" t="s">
        <v>283</v>
      </c>
      <c r="S50" s="61" t="s">
        <v>283</v>
      </c>
      <c r="T50" s="61" t="s">
        <v>283</v>
      </c>
    </row>
    <row r="52">
      <c r="B52" s="61" t="s">
        <v>283</v>
      </c>
      <c r="C52" s="61" t="s">
        <v>283</v>
      </c>
      <c r="D52" s="61" t="s">
        <v>283</v>
      </c>
      <c r="E52" s="61" t="s">
        <v>283</v>
      </c>
      <c r="G52" s="61" t="s">
        <v>283</v>
      </c>
      <c r="H52" s="61" t="s">
        <v>283</v>
      </c>
      <c r="I52" s="61" t="s">
        <v>283</v>
      </c>
      <c r="J52" s="61" t="s">
        <v>283</v>
      </c>
      <c r="L52" s="61" t="s">
        <v>283</v>
      </c>
      <c r="M52" s="61" t="s">
        <v>283</v>
      </c>
      <c r="N52" s="61" t="s">
        <v>283</v>
      </c>
      <c r="O52" s="61" t="s">
        <v>283</v>
      </c>
      <c r="Q52" s="61" t="s">
        <v>283</v>
      </c>
      <c r="R52" s="61" t="s">
        <v>283</v>
      </c>
      <c r="S52" s="61" t="s">
        <v>283</v>
      </c>
      <c r="T52" s="61" t="s">
        <v>283</v>
      </c>
    </row>
    <row r="54">
      <c r="B54" t="s">
        <v>284</v>
      </c>
      <c r="C54" t="s">
        <v>285</v>
      </c>
      <c r="D54" t="s">
        <v>286</v>
      </c>
      <c r="E54" t="s">
        <v>287</v>
      </c>
      <c r="G54" t="s">
        <v>288</v>
      </c>
      <c r="H54" t="s">
        <v>289</v>
      </c>
      <c r="I54" t="s">
        <v>290</v>
      </c>
      <c r="J54" t="s">
        <v>291</v>
      </c>
      <c r="L54" t="s">
        <v>292</v>
      </c>
      <c r="M54" t="s">
        <v>293</v>
      </c>
      <c r="N54" t="s">
        <v>294</v>
      </c>
      <c r="O54" s="62" t="s">
        <v>295</v>
      </c>
      <c r="Q54" s="62" t="s">
        <v>296</v>
      </c>
      <c r="R54" s="61" t="s">
        <v>283</v>
      </c>
      <c r="S54" s="61" t="s">
        <v>283</v>
      </c>
      <c r="T54" s="61" t="s">
        <v>283</v>
      </c>
    </row>
    <row r="56">
      <c r="B56" s="61" t="s">
        <v>297</v>
      </c>
      <c r="C56" t="s">
        <v>298</v>
      </c>
      <c r="D56" t="s">
        <v>299</v>
      </c>
      <c r="E56" t="s">
        <v>300</v>
      </c>
      <c r="G56" s="61" t="s">
        <v>283</v>
      </c>
      <c r="H56" s="61" t="s">
        <v>283</v>
      </c>
      <c r="I56" s="61" t="s">
        <v>283</v>
      </c>
      <c r="J56" s="61" t="s">
        <v>283</v>
      </c>
      <c r="L56" s="61" t="s">
        <v>283</v>
      </c>
      <c r="M56" s="61" t="s">
        <v>283</v>
      </c>
      <c r="N56" s="61" t="s">
        <v>283</v>
      </c>
      <c r="O56" s="61" t="s">
        <v>283</v>
      </c>
      <c r="Q56" s="61" t="s">
        <v>283</v>
      </c>
      <c r="R56" s="61" t="s">
        <v>283</v>
      </c>
      <c r="S56" s="61" t="s">
        <v>283</v>
      </c>
      <c r="T56" s="61" t="s">
        <v>283</v>
      </c>
    </row>
    <row r="58">
      <c r="Q58" s="61"/>
    </row>
    <row r="63">
      <c r="B63" s="60" t="s">
        <v>301</v>
      </c>
    </row>
    <row r="64">
      <c r="R64" t="s">
        <v>302</v>
      </c>
      <c r="S64" t="s">
        <v>303</v>
      </c>
      <c r="T64" t="s">
        <v>304</v>
      </c>
      <c r="U64" t="s">
        <v>305</v>
      </c>
    </row>
    <row r="65">
      <c r="B65" s="63" t="s">
        <v>306</v>
      </c>
      <c r="C65" s="63" t="s">
        <v>307</v>
      </c>
      <c r="D65" s="63" t="s">
        <v>308</v>
      </c>
      <c r="E65" s="63" t="s">
        <v>309</v>
      </c>
      <c r="G65" s="63" t="s">
        <v>310</v>
      </c>
      <c r="H65" s="63" t="s">
        <v>311</v>
      </c>
      <c r="I65" s="63" t="s">
        <v>312</v>
      </c>
      <c r="J65" s="63" t="s">
        <v>313</v>
      </c>
      <c r="L65" s="63" t="s">
        <v>314</v>
      </c>
      <c r="M65" s="63" t="s">
        <v>315</v>
      </c>
      <c r="N65" s="63" t="s">
        <v>316</v>
      </c>
      <c r="O65" s="63" t="s">
        <v>317</v>
      </c>
      <c r="R65" t="s">
        <v>318</v>
      </c>
      <c r="S65" t="s">
        <v>319</v>
      </c>
      <c r="T65" t="s">
        <v>320</v>
      </c>
      <c r="U65" t="s">
        <v>321</v>
      </c>
    </row>
    <row r="66">
      <c r="E66" s="63" t="s">
        <v>322</v>
      </c>
      <c r="H66" s="63" t="s">
        <v>323</v>
      </c>
      <c r="I66" s="63" t="s">
        <v>324</v>
      </c>
      <c r="J66" s="63" t="s">
        <v>325</v>
      </c>
      <c r="M66" s="64" t="s">
        <v>326</v>
      </c>
      <c r="N66" s="64" t="s">
        <v>327</v>
      </c>
      <c r="O66" s="64" t="s">
        <v>328</v>
      </c>
      <c r="R66" t="s">
        <v>329</v>
      </c>
      <c r="S66" t="s">
        <v>330</v>
      </c>
      <c r="T66" t="s">
        <v>331</v>
      </c>
    </row>
    <row r="70">
      <c r="B70" s="63" t="s">
        <v>332</v>
      </c>
      <c r="C70" s="63" t="s">
        <v>333</v>
      </c>
      <c r="D70" s="65" t="s">
        <v>334</v>
      </c>
      <c r="E70" s="66" t="s">
        <v>335</v>
      </c>
      <c r="G70" s="63" t="s">
        <v>336</v>
      </c>
      <c r="H70" s="63" t="s">
        <v>337</v>
      </c>
      <c r="I70" s="63" t="s">
        <v>338</v>
      </c>
      <c r="J70" s="63" t="s">
        <v>339</v>
      </c>
      <c r="L70" s="63" t="s">
        <v>340</v>
      </c>
      <c r="M70" s="63" t="s">
        <v>341</v>
      </c>
      <c r="N70" s="63" t="s">
        <v>342</v>
      </c>
      <c r="O70" s="63" t="s">
        <v>343</v>
      </c>
      <c r="S70" t="s">
        <v>344</v>
      </c>
      <c r="T70" t="s">
        <v>323</v>
      </c>
      <c r="U70" t="s">
        <v>345</v>
      </c>
    </row>
    <row r="71">
      <c r="C71" s="67" t="s">
        <v>346</v>
      </c>
      <c r="D71" s="67" t="s">
        <v>347</v>
      </c>
      <c r="E71" s="68" t="s">
        <v>348</v>
      </c>
      <c r="H71" s="69" t="s">
        <v>349</v>
      </c>
      <c r="I71" s="69" t="s">
        <v>350</v>
      </c>
      <c r="J71" s="69" t="s">
        <v>351</v>
      </c>
      <c r="L71" s="63" t="s">
        <v>352</v>
      </c>
      <c r="M71" s="63" t="s">
        <v>353</v>
      </c>
      <c r="N71" s="63" t="s">
        <v>354</v>
      </c>
      <c r="O71" s="63" t="s">
        <v>355</v>
      </c>
      <c r="S71" s="63" t="s">
        <v>312</v>
      </c>
      <c r="U71" s="63" t="s">
        <v>310</v>
      </c>
    </row>
    <row r="72">
      <c r="L72" s="63" t="s">
        <v>356</v>
      </c>
      <c r="O72" s="69" t="s">
        <v>357</v>
      </c>
      <c r="R72" s="63" t="s">
        <v>358</v>
      </c>
      <c r="S72" s="63" t="s">
        <v>322</v>
      </c>
      <c r="T72" s="63" t="s">
        <v>359</v>
      </c>
      <c r="U72" s="63" t="s">
        <v>360</v>
      </c>
    </row>
    <row r="75">
      <c r="B75" s="60" t="s">
        <v>361</v>
      </c>
      <c r="C75" s="60"/>
    </row>
    <row r="77">
      <c r="B77" s="63" t="s">
        <v>362</v>
      </c>
      <c r="C77" s="70">
        <v>5</v>
      </c>
      <c r="D77" s="70">
        <v>10</v>
      </c>
      <c r="E77" s="70">
        <v>15</v>
      </c>
      <c r="F77" s="70">
        <v>20</v>
      </c>
      <c r="G77" s="70">
        <v>25</v>
      </c>
      <c r="H77" s="70">
        <v>30</v>
      </c>
      <c r="I77" s="70">
        <v>35</v>
      </c>
      <c r="J77" s="70">
        <v>40</v>
      </c>
      <c r="K77" s="70">
        <v>45</v>
      </c>
      <c r="L77" s="70">
        <v>50</v>
      </c>
      <c r="M77" s="70">
        <v>55</v>
      </c>
      <c r="N77" s="70">
        <v>60</v>
      </c>
      <c r="O77" s="70">
        <v>65</v>
      </c>
      <c r="P77" s="70">
        <v>70</v>
      </c>
      <c r="Q77" s="70">
        <v>75</v>
      </c>
      <c r="R77" s="70">
        <v>80</v>
      </c>
      <c r="S77" s="70">
        <v>85</v>
      </c>
      <c r="T77" s="70">
        <v>90</v>
      </c>
      <c r="U77" s="70">
        <v>95</v>
      </c>
      <c r="V77" s="70">
        <v>100</v>
      </c>
    </row>
    <row r="79">
      <c r="B79" s="63" t="s">
        <v>363</v>
      </c>
      <c r="C79" s="70">
        <v>1</v>
      </c>
      <c r="D79" s="70">
        <v>2</v>
      </c>
      <c r="E79" s="70">
        <v>3</v>
      </c>
      <c r="F79" s="70">
        <v>3</v>
      </c>
      <c r="G79" s="70">
        <v>4</v>
      </c>
      <c r="H79" s="70">
        <v>5</v>
      </c>
      <c r="I79" s="70">
        <v>6</v>
      </c>
      <c r="J79" s="70">
        <v>6</v>
      </c>
      <c r="K79" s="70">
        <v>7</v>
      </c>
      <c r="L79" s="70">
        <v>8</v>
      </c>
      <c r="M79" s="70">
        <v>9</v>
      </c>
      <c r="N79" s="70">
        <v>9</v>
      </c>
      <c r="O79" s="70">
        <v>10</v>
      </c>
      <c r="P79" s="70">
        <v>11</v>
      </c>
      <c r="Q79" s="70">
        <v>12</v>
      </c>
      <c r="R79" s="70">
        <v>12</v>
      </c>
      <c r="S79" s="70">
        <v>13</v>
      </c>
      <c r="T79" s="70">
        <v>14</v>
      </c>
      <c r="U79" s="70">
        <v>15</v>
      </c>
      <c r="V79" s="70">
        <v>15</v>
      </c>
    </row>
    <row r="80">
      <c r="B80" s="63" t="s">
        <v>364</v>
      </c>
      <c r="C80" s="71">
        <f>1+C79*0.06</f>
        <v>1.0600000000000001</v>
      </c>
      <c r="D80" s="71">
        <f t="shared" ref="D80:V80" si="33">1+D79*0.06</f>
        <v>1.1200000000000001</v>
      </c>
      <c r="E80" s="71">
        <f t="shared" si="33"/>
        <v>1.1799999999999999</v>
      </c>
      <c r="F80" s="71">
        <f t="shared" si="33"/>
        <v>1.1799999999999999</v>
      </c>
      <c r="G80" s="71">
        <f t="shared" si="33"/>
        <v>1.24</v>
      </c>
      <c r="H80" s="71">
        <f t="shared" si="33"/>
        <v>1.3</v>
      </c>
      <c r="I80" s="71">
        <f t="shared" si="33"/>
        <v>1.3599999999999999</v>
      </c>
      <c r="J80" s="71">
        <f t="shared" si="33"/>
        <v>1.3599999999999999</v>
      </c>
      <c r="K80" s="71">
        <f t="shared" si="33"/>
        <v>1.4199999999999999</v>
      </c>
      <c r="L80" s="71">
        <f t="shared" si="33"/>
        <v>1.48</v>
      </c>
      <c r="M80" s="71">
        <f t="shared" si="33"/>
        <v>1.54</v>
      </c>
      <c r="N80" s="71">
        <f t="shared" si="33"/>
        <v>1.54</v>
      </c>
      <c r="O80" s="71">
        <f t="shared" si="33"/>
        <v>1.6000000000000001</v>
      </c>
      <c r="P80" s="71">
        <f t="shared" si="33"/>
        <v>1.6599999999999999</v>
      </c>
      <c r="Q80" s="71">
        <f t="shared" si="33"/>
        <v>1.72</v>
      </c>
      <c r="R80" s="71">
        <f t="shared" si="33"/>
        <v>1.72</v>
      </c>
      <c r="S80" s="71">
        <f t="shared" si="33"/>
        <v>1.78</v>
      </c>
      <c r="T80" s="71">
        <f t="shared" si="33"/>
        <v>1.8399999999999999</v>
      </c>
      <c r="U80" s="71">
        <f t="shared" si="33"/>
        <v>1.8999999999999999</v>
      </c>
      <c r="V80" s="71">
        <f t="shared" si="33"/>
        <v>1.8999999999999999</v>
      </c>
    </row>
    <row r="82">
      <c r="B82" s="63" t="s">
        <v>365</v>
      </c>
      <c r="C82" s="72">
        <v>5</v>
      </c>
      <c r="D82" s="72">
        <v>8</v>
      </c>
      <c r="E82" s="72">
        <v>12</v>
      </c>
      <c r="F82" s="72">
        <v>15</v>
      </c>
      <c r="G82" s="72">
        <v>18</v>
      </c>
      <c r="H82" s="72">
        <v>21</v>
      </c>
      <c r="I82" s="72">
        <v>23</v>
      </c>
      <c r="J82" s="72">
        <v>26</v>
      </c>
      <c r="K82" s="72">
        <v>28</v>
      </c>
      <c r="L82" s="72">
        <v>30</v>
      </c>
      <c r="M82" s="72">
        <v>32</v>
      </c>
      <c r="N82" s="72">
        <v>34</v>
      </c>
      <c r="O82" s="72">
        <v>36</v>
      </c>
      <c r="P82" s="72">
        <v>37</v>
      </c>
      <c r="Q82" s="72">
        <v>39</v>
      </c>
      <c r="R82" s="72">
        <v>41</v>
      </c>
      <c r="S82" s="72">
        <v>43</v>
      </c>
      <c r="T82" s="72">
        <v>44</v>
      </c>
      <c r="U82" s="72">
        <v>46</v>
      </c>
      <c r="V82" s="72">
        <v>47</v>
      </c>
    </row>
    <row r="83">
      <c r="B83" s="63" t="s">
        <v>364</v>
      </c>
      <c r="C83" s="71">
        <f>100/(100-C82)</f>
        <v>1.0526315789473684</v>
      </c>
      <c r="D83" s="71">
        <f>100/(100-D82)</f>
        <v>1.0869565217391304</v>
      </c>
      <c r="E83" s="71">
        <f>100/(100-E82)</f>
        <v>1.1363636363636365</v>
      </c>
      <c r="F83" s="71">
        <f>100/(100-F82)</f>
        <v>1.1764705882352942</v>
      </c>
      <c r="G83" s="71">
        <f>100/(100-G82)</f>
        <v>1.2195121951219512</v>
      </c>
      <c r="H83" s="71">
        <f>100/(100-H82)</f>
        <v>1.2658227848101267</v>
      </c>
      <c r="I83" s="71">
        <f>100/(100-I82)</f>
        <v>1.2987012987012987</v>
      </c>
      <c r="J83" s="71">
        <f>100/(100-J82)</f>
        <v>1.3513513513513513</v>
      </c>
      <c r="K83" s="71">
        <f>100/(100-K82)</f>
        <v>1.3888888888888888</v>
      </c>
      <c r="L83" s="71">
        <f>100/(100-L82)</f>
        <v>1.4285714285714286</v>
      </c>
      <c r="M83" s="71">
        <f>100/(100-M82)</f>
        <v>1.4705882352941178</v>
      </c>
      <c r="N83" s="71">
        <f>100/(100-N82)</f>
        <v>1.5151515151515151</v>
      </c>
      <c r="O83" s="71">
        <f>100/(100-O82)</f>
        <v>1.5625</v>
      </c>
      <c r="P83" s="71">
        <f>100/(100-P82)</f>
        <v>1.5873015873015872</v>
      </c>
      <c r="Q83" s="71">
        <f>100/(100-Q82)</f>
        <v>1.639344262295082</v>
      </c>
      <c r="R83" s="71">
        <f>100/(100-R82)</f>
        <v>1.6949152542372881</v>
      </c>
      <c r="S83" s="71">
        <f>100/(100-S82)</f>
        <v>1.7543859649122806</v>
      </c>
      <c r="T83" s="71">
        <f>100/(100-T82)</f>
        <v>1.7857142857142858</v>
      </c>
      <c r="U83" s="71">
        <f>100/(100-U82)</f>
        <v>1.8518518518518519</v>
      </c>
      <c r="V83" s="71">
        <f>100/(100-V82)</f>
        <v>1.8867924528301887</v>
      </c>
    </row>
    <row r="84"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</row>
    <row r="85">
      <c r="B85" s="63" t="s">
        <v>366</v>
      </c>
      <c r="C85" s="71">
        <v>0.14999999999999999</v>
      </c>
      <c r="D85" s="71">
        <v>0.29999999999999999</v>
      </c>
      <c r="E85" s="71">
        <v>0.45000000000000001</v>
      </c>
      <c r="F85" s="71">
        <v>0.59999999999999998</v>
      </c>
      <c r="G85" s="71">
        <v>0.75</v>
      </c>
      <c r="H85" s="71">
        <v>0.90000000000000002</v>
      </c>
      <c r="I85" s="71">
        <v>1.05</v>
      </c>
      <c r="J85" s="71">
        <v>1.2</v>
      </c>
      <c r="K85" s="71">
        <v>1.3500000000000001</v>
      </c>
      <c r="L85" s="71">
        <v>1.5</v>
      </c>
      <c r="M85" s="71">
        <v>1.6499999999999999</v>
      </c>
      <c r="N85" s="71">
        <v>1.8</v>
      </c>
      <c r="O85" s="71">
        <v>1.95</v>
      </c>
      <c r="P85" s="71">
        <v>2.1000000000000001</v>
      </c>
      <c r="Q85" s="71">
        <v>2.25</v>
      </c>
      <c r="R85" s="71">
        <v>2.3999999999999999</v>
      </c>
      <c r="S85" s="71">
        <v>2.5499999999999998</v>
      </c>
      <c r="T85" s="71">
        <v>2.7000000000000002</v>
      </c>
      <c r="U85" s="71">
        <v>2.8500000000000001</v>
      </c>
      <c r="V85" s="71">
        <v>3</v>
      </c>
    </row>
    <row r="86"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</row>
    <row r="87">
      <c r="B87" s="63" t="s">
        <v>367</v>
      </c>
      <c r="C87" s="72">
        <v>3</v>
      </c>
      <c r="D87" s="72">
        <v>6</v>
      </c>
      <c r="E87" s="72">
        <v>9</v>
      </c>
      <c r="F87" s="72">
        <v>12</v>
      </c>
      <c r="G87" s="72">
        <v>15</v>
      </c>
      <c r="H87" s="72">
        <v>18</v>
      </c>
      <c r="I87" s="72">
        <v>21</v>
      </c>
      <c r="J87" s="72">
        <v>24</v>
      </c>
      <c r="K87" s="72">
        <v>27</v>
      </c>
      <c r="L87" s="72">
        <v>30</v>
      </c>
      <c r="M87" s="72">
        <v>33</v>
      </c>
      <c r="N87" s="72">
        <v>36</v>
      </c>
      <c r="O87" s="72">
        <v>39</v>
      </c>
      <c r="P87" s="72">
        <v>42</v>
      </c>
      <c r="Q87" s="72">
        <v>45</v>
      </c>
      <c r="R87" s="72">
        <v>48</v>
      </c>
      <c r="S87" s="72">
        <v>51</v>
      </c>
      <c r="T87" s="72">
        <v>54</v>
      </c>
      <c r="U87" s="72">
        <v>57</v>
      </c>
      <c r="V87" s="72">
        <v>60</v>
      </c>
    </row>
    <row r="88"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</row>
    <row r="89">
      <c r="B89" s="63" t="s">
        <v>368</v>
      </c>
      <c r="C89" s="72">
        <v>2</v>
      </c>
      <c r="D89" s="72">
        <v>4</v>
      </c>
      <c r="E89" s="72">
        <v>6</v>
      </c>
      <c r="F89" s="72">
        <v>7</v>
      </c>
      <c r="G89" s="72">
        <v>9</v>
      </c>
      <c r="H89" s="72">
        <v>10</v>
      </c>
      <c r="I89" s="72">
        <v>12</v>
      </c>
      <c r="J89" s="72">
        <v>13</v>
      </c>
      <c r="K89" s="72">
        <v>14</v>
      </c>
      <c r="L89" s="72">
        <v>15</v>
      </c>
      <c r="M89" s="72">
        <v>16</v>
      </c>
      <c r="N89" s="72">
        <v>17</v>
      </c>
      <c r="O89" s="72">
        <v>18</v>
      </c>
      <c r="P89" s="72">
        <v>19</v>
      </c>
      <c r="Q89" s="72">
        <v>20</v>
      </c>
      <c r="R89" s="72">
        <v>21</v>
      </c>
      <c r="S89" s="72">
        <v>22</v>
      </c>
      <c r="T89" s="72">
        <v>23</v>
      </c>
      <c r="U89" s="72">
        <v>24</v>
      </c>
      <c r="V89" s="72">
        <v>25</v>
      </c>
    </row>
    <row r="90">
      <c r="B90" s="63" t="s">
        <v>369</v>
      </c>
      <c r="C90" s="71">
        <f t="shared" ref="C90:V90" si="34">(1+0.01*C87+0.01*C89+0.0001*C87*C89)</f>
        <v>1.0506</v>
      </c>
      <c r="D90" s="71">
        <f t="shared" si="34"/>
        <v>1.1024</v>
      </c>
      <c r="E90" s="71">
        <f t="shared" si="34"/>
        <v>1.1554000000000002</v>
      </c>
      <c r="F90" s="71">
        <f t="shared" si="34"/>
        <v>1.1984000000000001</v>
      </c>
      <c r="G90" s="71">
        <f t="shared" si="34"/>
        <v>1.2535000000000001</v>
      </c>
      <c r="H90" s="71">
        <f t="shared" si="34"/>
        <v>1.298</v>
      </c>
      <c r="I90" s="71">
        <f t="shared" si="34"/>
        <v>1.3552000000000002</v>
      </c>
      <c r="J90" s="71">
        <f t="shared" si="34"/>
        <v>1.4012</v>
      </c>
      <c r="K90" s="71">
        <f t="shared" si="34"/>
        <v>1.4478000000000002</v>
      </c>
      <c r="L90" s="71">
        <f t="shared" si="34"/>
        <v>1.4949999999999999</v>
      </c>
      <c r="M90" s="71">
        <f t="shared" si="34"/>
        <v>1.5427999999999999</v>
      </c>
      <c r="N90" s="71">
        <f t="shared" si="34"/>
        <v>1.5911999999999997</v>
      </c>
      <c r="O90" s="71">
        <f t="shared" si="34"/>
        <v>1.6402000000000001</v>
      </c>
      <c r="P90" s="71">
        <f t="shared" si="34"/>
        <v>1.6898</v>
      </c>
      <c r="Q90" s="71">
        <f t="shared" si="34"/>
        <v>1.74</v>
      </c>
      <c r="R90" s="71">
        <f t="shared" si="34"/>
        <v>1.7907999999999999</v>
      </c>
      <c r="S90" s="71">
        <f t="shared" si="34"/>
        <v>1.8422000000000001</v>
      </c>
      <c r="T90" s="71">
        <f t="shared" si="34"/>
        <v>1.8942000000000001</v>
      </c>
      <c r="U90" s="71">
        <f t="shared" si="34"/>
        <v>1.9468000000000001</v>
      </c>
      <c r="V90" s="71">
        <f t="shared" si="34"/>
        <v>2</v>
      </c>
    </row>
    <row r="96">
      <c r="E96" t="s">
        <v>370</v>
      </c>
    </row>
    <row r="97">
      <c r="B97">
        <v>7</v>
      </c>
      <c r="H97">
        <v>8</v>
      </c>
      <c r="J97" t="s">
        <v>371</v>
      </c>
      <c r="N97">
        <v>9</v>
      </c>
      <c r="S97" t="s">
        <v>372</v>
      </c>
      <c r="U97" t="s">
        <v>373</v>
      </c>
    </row>
    <row r="98">
      <c r="U98" t="s">
        <v>374</v>
      </c>
    </row>
    <row r="99">
      <c r="B99">
        <v>1</v>
      </c>
      <c r="C99">
        <v>1</v>
      </c>
      <c r="H99">
        <v>1</v>
      </c>
      <c r="J99">
        <v>3</v>
      </c>
      <c r="N99">
        <v>1</v>
      </c>
      <c r="O99">
        <v>5</v>
      </c>
      <c r="S99" t="s">
        <v>375</v>
      </c>
      <c r="U99" t="s">
        <v>376</v>
      </c>
    </row>
    <row r="100">
      <c r="B100">
        <v>2</v>
      </c>
      <c r="H100">
        <v>2</v>
      </c>
      <c r="J100">
        <v>2</v>
      </c>
      <c r="N100">
        <v>2</v>
      </c>
      <c r="O100">
        <v>4</v>
      </c>
    </row>
    <row r="101">
      <c r="H101">
        <v>3</v>
      </c>
      <c r="J101">
        <v>1</v>
      </c>
      <c r="N101">
        <v>3</v>
      </c>
      <c r="O101">
        <v>3</v>
      </c>
      <c r="U101" t="s">
        <v>377</v>
      </c>
    </row>
    <row r="102">
      <c r="H102">
        <v>4</v>
      </c>
      <c r="N102">
        <v>4</v>
      </c>
      <c r="O102">
        <v>2</v>
      </c>
      <c r="U102" t="s">
        <v>378</v>
      </c>
    </row>
    <row r="103">
      <c r="N103">
        <v>5</v>
      </c>
      <c r="O103">
        <v>1</v>
      </c>
    </row>
    <row r="104">
      <c r="N104">
        <v>6</v>
      </c>
      <c r="U104" t="s">
        <v>379</v>
      </c>
    </row>
    <row r="105">
      <c r="U105" t="s">
        <v>380</v>
      </c>
    </row>
    <row r="106">
      <c r="B106" t="s">
        <v>381</v>
      </c>
      <c r="C106" t="s">
        <v>382</v>
      </c>
      <c r="D106" t="s">
        <v>383</v>
      </c>
      <c r="E106" t="s">
        <v>384</v>
      </c>
      <c r="F106" t="s">
        <v>385</v>
      </c>
      <c r="G106" t="s">
        <v>386</v>
      </c>
      <c r="J106">
        <v>5</v>
      </c>
      <c r="K106">
        <v>8</v>
      </c>
    </row>
    <row r="107">
      <c r="J107">
        <v>63</v>
      </c>
      <c r="K107">
        <v>74</v>
      </c>
      <c r="U107" t="s">
        <v>387</v>
      </c>
    </row>
    <row r="108">
      <c r="U108" t="s">
        <v>388</v>
      </c>
    </row>
    <row r="109">
      <c r="U109" t="s">
        <v>389</v>
      </c>
    </row>
    <row r="112">
      <c r="B112" s="74" t="s">
        <v>241</v>
      </c>
      <c r="C112" s="60" t="s">
        <v>390</v>
      </c>
      <c r="E112" t="s">
        <v>391</v>
      </c>
      <c r="F112" t="s">
        <v>392</v>
      </c>
      <c r="I112" t="s">
        <v>302</v>
      </c>
      <c r="K112" t="s">
        <v>393</v>
      </c>
      <c r="M112" t="s">
        <v>394</v>
      </c>
      <c r="N112" t="s">
        <v>395</v>
      </c>
      <c r="O112" t="s">
        <v>396</v>
      </c>
    </row>
    <row r="113">
      <c r="B113" t="s">
        <v>244</v>
      </c>
      <c r="C113" s="60" t="s">
        <v>397</v>
      </c>
      <c r="E113" t="s">
        <v>398</v>
      </c>
      <c r="F113" t="s">
        <v>399</v>
      </c>
      <c r="K113" t="s">
        <v>356</v>
      </c>
      <c r="M113" t="s">
        <v>309</v>
      </c>
      <c r="N113" t="s">
        <v>400</v>
      </c>
      <c r="O113" t="s">
        <v>401</v>
      </c>
    </row>
    <row r="114">
      <c r="B114" t="s">
        <v>288</v>
      </c>
      <c r="C114" s="60" t="s">
        <v>402</v>
      </c>
      <c r="E114" t="s">
        <v>403</v>
      </c>
      <c r="F114" t="s">
        <v>404</v>
      </c>
      <c r="I114" t="s">
        <v>327</v>
      </c>
      <c r="K114" t="s">
        <v>352</v>
      </c>
      <c r="M114" t="s">
        <v>405</v>
      </c>
      <c r="N114" t="s">
        <v>406</v>
      </c>
      <c r="O114" t="s">
        <v>407</v>
      </c>
    </row>
    <row r="115">
      <c r="B115" t="s">
        <v>296</v>
      </c>
      <c r="C115" s="60" t="s">
        <v>408</v>
      </c>
      <c r="E115" t="s">
        <v>409</v>
      </c>
      <c r="F115" t="s">
        <v>410</v>
      </c>
      <c r="K115" t="s">
        <v>336</v>
      </c>
      <c r="M115" t="s">
        <v>411</v>
      </c>
      <c r="N115" t="s">
        <v>412</v>
      </c>
      <c r="O115" t="s">
        <v>413</v>
      </c>
    </row>
    <row r="116">
      <c r="B116" t="s">
        <v>245</v>
      </c>
      <c r="C116" s="75" t="s">
        <v>414</v>
      </c>
      <c r="E116" t="s">
        <v>415</v>
      </c>
      <c r="F116" t="s">
        <v>416</v>
      </c>
      <c r="K116" t="s">
        <v>417</v>
      </c>
      <c r="M116" t="s">
        <v>418</v>
      </c>
      <c r="N116" t="s">
        <v>419</v>
      </c>
      <c r="O116" t="s">
        <v>340</v>
      </c>
    </row>
    <row r="117">
      <c r="B117" t="s">
        <v>420</v>
      </c>
      <c r="C117" s="75" t="s">
        <v>421</v>
      </c>
      <c r="E117" t="s">
        <v>422</v>
      </c>
      <c r="F117" t="s">
        <v>423</v>
      </c>
      <c r="K117" t="s">
        <v>424</v>
      </c>
      <c r="M117" t="s">
        <v>425</v>
      </c>
      <c r="N117" t="s">
        <v>426</v>
      </c>
      <c r="O117" t="s">
        <v>427</v>
      </c>
    </row>
    <row r="118">
      <c r="B118" s="76" t="s">
        <v>428</v>
      </c>
      <c r="C118" s="75" t="s">
        <v>429</v>
      </c>
    </row>
    <row r="119">
      <c r="B119" s="76" t="s">
        <v>430</v>
      </c>
      <c r="C119" s="75" t="s">
        <v>431</v>
      </c>
    </row>
    <row r="120">
      <c r="B120" s="76" t="s">
        <v>432</v>
      </c>
      <c r="C120" s="60" t="s">
        <v>433</v>
      </c>
    </row>
    <row r="121">
      <c r="B121" t="s">
        <v>230</v>
      </c>
      <c r="C121" s="60" t="s">
        <v>434</v>
      </c>
      <c r="E121" t="s">
        <v>435</v>
      </c>
      <c r="F121" t="s">
        <v>436</v>
      </c>
    </row>
    <row r="122">
      <c r="B122" t="s">
        <v>233</v>
      </c>
      <c r="C122" s="60" t="s">
        <v>437</v>
      </c>
      <c r="E122" t="s">
        <v>438</v>
      </c>
      <c r="F122" t="s">
        <v>439</v>
      </c>
    </row>
    <row r="123">
      <c r="B123" t="s">
        <v>279</v>
      </c>
      <c r="C123" s="60" t="s">
        <v>440</v>
      </c>
      <c r="E123" t="s">
        <v>441</v>
      </c>
      <c r="F123" t="s">
        <v>442</v>
      </c>
    </row>
    <row r="124">
      <c r="B124" t="s">
        <v>259</v>
      </c>
      <c r="C124" s="75" t="s">
        <v>443</v>
      </c>
    </row>
    <row r="125">
      <c r="B125" t="s">
        <v>231</v>
      </c>
      <c r="C125" s="75" t="s">
        <v>444</v>
      </c>
      <c r="E125" t="s">
        <v>445</v>
      </c>
      <c r="F125" t="s">
        <v>446</v>
      </c>
    </row>
    <row r="126">
      <c r="B126" t="s">
        <v>286</v>
      </c>
      <c r="C126" s="75" t="s">
        <v>447</v>
      </c>
      <c r="E126" t="s">
        <v>448</v>
      </c>
      <c r="F126" t="s">
        <v>449</v>
      </c>
    </row>
    <row r="127">
      <c r="C127" s="75" t="s">
        <v>450</v>
      </c>
      <c r="E127" t="s">
        <v>451</v>
      </c>
      <c r="F127" t="s">
        <v>452</v>
      </c>
    </row>
    <row r="129">
      <c r="B129" t="s">
        <v>246</v>
      </c>
      <c r="C129" s="75" t="s">
        <v>453</v>
      </c>
    </row>
    <row r="130">
      <c r="B130" t="s">
        <v>278</v>
      </c>
      <c r="C130" s="75" t="s">
        <v>454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zoomScale="100" workbookViewId="0">
      <selection activeCell="H23" activeCellId="0" sqref="H23"/>
    </sheetView>
  </sheetViews>
  <sheetFormatPr defaultRowHeight="15"/>
  <cols>
    <col customWidth="1" min="1" max="1" width="8"/>
    <col customWidth="1" min="2" max="2" width="13.85546875"/>
    <col customWidth="1" min="3" max="3" width="7.85546875"/>
    <col customWidth="1" min="4" max="4" width="7.140625"/>
    <col customWidth="1" min="5" max="5" width="9.42578125"/>
    <col customWidth="1" min="6" max="6" width="9.85546875"/>
    <col customWidth="1" min="7" max="7" width="10.7109375"/>
    <col customWidth="1" min="13" max="13" width="11.140625"/>
    <col customWidth="1" min="14" max="14" width="20.7109375"/>
    <col customWidth="1" min="15" max="15" width="7.42578125"/>
  </cols>
  <sheetData>
    <row r="1">
      <c r="A1" s="43" t="s">
        <v>455</v>
      </c>
      <c r="B1" s="43" t="s">
        <v>456</v>
      </c>
      <c r="C1" s="43" t="s">
        <v>457</v>
      </c>
      <c r="D1" s="43" t="s">
        <v>458</v>
      </c>
    </row>
    <row r="2">
      <c r="A2" s="43">
        <v>8</v>
      </c>
      <c r="B2" s="43">
        <f>A2*0.4</f>
        <v>3.2000000000000002</v>
      </c>
      <c r="C2" s="43">
        <v>120</v>
      </c>
      <c r="D2" s="43">
        <v>3</v>
      </c>
      <c r="E2" s="43"/>
    </row>
    <row r="3" ht="15.75"/>
    <row r="4" ht="15.75">
      <c r="B4" s="77" t="s">
        <v>153</v>
      </c>
      <c r="C4" s="43"/>
      <c r="D4" s="43"/>
      <c r="E4" s="77" t="s">
        <v>459</v>
      </c>
      <c r="F4" s="77" t="s">
        <v>460</v>
      </c>
      <c r="G4" s="77" t="s">
        <v>461</v>
      </c>
      <c r="H4" s="43"/>
      <c r="I4" s="77" t="s">
        <v>462</v>
      </c>
      <c r="J4" s="77" t="s">
        <v>463</v>
      </c>
      <c r="K4" s="43"/>
      <c r="L4" s="77" t="s">
        <v>464</v>
      </c>
      <c r="M4" s="43"/>
      <c r="N4" s="43"/>
      <c r="O4" s="43"/>
      <c r="P4" s="43"/>
      <c r="Q4" s="43"/>
      <c r="R4" s="43"/>
      <c r="S4" s="43"/>
    </row>
    <row r="5">
      <c r="B5" s="78">
        <v>1</v>
      </c>
      <c r="C5" s="43"/>
      <c r="D5" s="43"/>
      <c r="E5" s="78">
        <v>50</v>
      </c>
      <c r="F5" s="78">
        <f t="shared" ref="F5:F19" si="35">E5*$B$2</f>
        <v>160</v>
      </c>
      <c r="G5" s="78">
        <f t="shared" ref="G5:G19" si="36">$C$2*$D$2+E5</f>
        <v>410</v>
      </c>
      <c r="H5" s="43"/>
      <c r="I5" s="78">
        <f t="shared" ref="I5:I19" si="37">(F5/5.3544563483342)*5</f>
        <v>149.40825883264213</v>
      </c>
      <c r="J5" s="78">
        <f t="shared" ref="J5:J19" si="38">(F5/0.18159375101708)*5</f>
        <v>4405.4379378107296</v>
      </c>
      <c r="K5" s="43"/>
      <c r="L5" s="78">
        <f t="shared" ref="L5:L19" si="39">F5*10</f>
        <v>1600</v>
      </c>
      <c r="M5" s="43"/>
      <c r="N5" s="43"/>
      <c r="O5" s="43"/>
      <c r="P5" s="43"/>
      <c r="Q5" s="43"/>
      <c r="R5" s="43"/>
      <c r="S5" s="43"/>
    </row>
    <row r="6">
      <c r="B6" s="79">
        <v>2</v>
      </c>
      <c r="C6" s="43"/>
      <c r="D6" s="43"/>
      <c r="E6" s="79">
        <f t="shared" ref="E6:E19" si="40">E5+(G5/10)</f>
        <v>91</v>
      </c>
      <c r="F6" s="79">
        <f t="shared" si="35"/>
        <v>291.19999999999999</v>
      </c>
      <c r="G6" s="79">
        <f t="shared" si="36"/>
        <v>451</v>
      </c>
      <c r="H6" s="43"/>
      <c r="I6" s="79">
        <f t="shared" si="37"/>
        <v>271.92303107540869</v>
      </c>
      <c r="J6" s="79">
        <f t="shared" si="38"/>
        <v>8017.8970468155276</v>
      </c>
      <c r="K6" s="43"/>
      <c r="L6" s="79">
        <f t="shared" si="39"/>
        <v>2912</v>
      </c>
      <c r="M6" s="43"/>
      <c r="N6" s="43"/>
      <c r="O6" s="43"/>
      <c r="P6" s="43"/>
      <c r="Q6" s="43"/>
      <c r="R6" s="43"/>
      <c r="S6" s="43"/>
    </row>
    <row r="7" ht="15.75">
      <c r="B7" s="80">
        <v>3</v>
      </c>
      <c r="C7" s="43"/>
      <c r="D7" s="43"/>
      <c r="E7" s="80">
        <f t="shared" si="40"/>
        <v>136.09999999999999</v>
      </c>
      <c r="F7" s="80">
        <f t="shared" si="35"/>
        <v>435.51999999999998</v>
      </c>
      <c r="G7" s="80">
        <f t="shared" si="36"/>
        <v>496.10000000000002</v>
      </c>
      <c r="H7" s="43"/>
      <c r="I7" s="80">
        <f t="shared" si="37"/>
        <v>406.68928054245191</v>
      </c>
      <c r="J7" s="80">
        <f t="shared" si="38"/>
        <v>11991.602066720805</v>
      </c>
      <c r="K7" s="43"/>
      <c r="L7" s="80">
        <f t="shared" si="39"/>
        <v>4355.1999999999998</v>
      </c>
      <c r="M7" s="43"/>
      <c r="N7" s="43"/>
      <c r="O7" s="43"/>
      <c r="P7" s="43"/>
      <c r="Q7" s="43"/>
      <c r="R7" s="43"/>
      <c r="S7" s="43"/>
    </row>
    <row r="8" ht="15.75">
      <c r="B8" s="81">
        <v>4</v>
      </c>
      <c r="C8" s="43"/>
      <c r="D8" s="43"/>
      <c r="E8" s="82">
        <f t="shared" si="40"/>
        <v>185.70999999999998</v>
      </c>
      <c r="F8" s="83">
        <f t="shared" si="35"/>
        <v>594.27199999999993</v>
      </c>
      <c r="G8" s="84">
        <f t="shared" si="36"/>
        <v>545.71000000000004</v>
      </c>
      <c r="H8" s="43"/>
      <c r="I8" s="82">
        <f t="shared" si="37"/>
        <v>554.93215495619938</v>
      </c>
      <c r="J8" s="84">
        <f t="shared" si="38"/>
        <v>16362.677588616609</v>
      </c>
      <c r="K8" s="43"/>
      <c r="L8" s="85">
        <f t="shared" si="39"/>
        <v>5942.7199999999993</v>
      </c>
      <c r="M8" s="43"/>
      <c r="N8" s="43"/>
      <c r="O8" s="43"/>
      <c r="P8" s="43"/>
      <c r="Q8" s="43"/>
      <c r="R8" s="43"/>
      <c r="S8" s="43"/>
    </row>
    <row r="9">
      <c r="B9" s="78">
        <v>5</v>
      </c>
      <c r="C9" s="43"/>
      <c r="D9" s="43"/>
      <c r="E9" s="78">
        <f t="shared" si="40"/>
        <v>240.28099999999998</v>
      </c>
      <c r="F9" s="78">
        <f t="shared" si="35"/>
        <v>768.89919999999995</v>
      </c>
      <c r="G9" s="78">
        <f t="shared" si="36"/>
        <v>600.28099999999995</v>
      </c>
      <c r="H9" s="43"/>
      <c r="I9" s="78">
        <f t="shared" si="37"/>
        <v>717.99931681132171</v>
      </c>
      <c r="J9" s="78">
        <f t="shared" si="38"/>
        <v>21170.860662701998</v>
      </c>
      <c r="K9" s="43"/>
      <c r="L9" s="78">
        <f t="shared" si="39"/>
        <v>7688.9919999999993</v>
      </c>
      <c r="M9" s="43"/>
      <c r="N9" s="43"/>
      <c r="O9" s="43"/>
      <c r="P9" s="43"/>
      <c r="Q9" s="43"/>
      <c r="R9" s="43"/>
      <c r="S9" s="43"/>
    </row>
    <row r="10">
      <c r="B10" s="79">
        <v>6</v>
      </c>
      <c r="C10" s="43"/>
      <c r="D10" s="43"/>
      <c r="E10" s="79">
        <f t="shared" si="40"/>
        <v>300.30909999999994</v>
      </c>
      <c r="F10" s="79">
        <f t="shared" si="35"/>
        <v>960.98911999999984</v>
      </c>
      <c r="G10" s="79">
        <f t="shared" si="36"/>
        <v>660.30909999999994</v>
      </c>
      <c r="H10" s="43"/>
      <c r="I10" s="79">
        <f t="shared" si="37"/>
        <v>897.3731948519561</v>
      </c>
      <c r="J10" s="79">
        <f t="shared" si="38"/>
        <v>26459.862044195921</v>
      </c>
      <c r="K10" s="43"/>
      <c r="L10" s="79">
        <f t="shared" si="39"/>
        <v>9609.8911999999982</v>
      </c>
      <c r="M10" s="43"/>
      <c r="N10" s="43"/>
      <c r="O10" s="43"/>
      <c r="P10" s="43"/>
      <c r="Q10" s="43"/>
      <c r="R10" s="43"/>
      <c r="S10" s="43"/>
    </row>
    <row r="11" ht="15.75">
      <c r="B11" s="80">
        <v>7</v>
      </c>
      <c r="C11" s="43"/>
      <c r="D11" s="43"/>
      <c r="E11" s="80">
        <f t="shared" si="40"/>
        <v>366.34000999999995</v>
      </c>
      <c r="F11" s="80">
        <f t="shared" si="35"/>
        <v>1172.2880319999999</v>
      </c>
      <c r="G11" s="80">
        <f t="shared" si="36"/>
        <v>726.34000999999989</v>
      </c>
      <c r="H11" s="43"/>
      <c r="I11" s="80">
        <f t="shared" si="37"/>
        <v>1094.6844606966542</v>
      </c>
      <c r="J11" s="80">
        <f t="shared" si="38"/>
        <v>32277.763563839238</v>
      </c>
      <c r="K11" s="43"/>
      <c r="L11" s="80">
        <f t="shared" si="39"/>
        <v>11722.88032</v>
      </c>
      <c r="M11" s="43"/>
      <c r="N11" s="43"/>
      <c r="O11" s="43"/>
      <c r="P11" s="43"/>
      <c r="Q11" s="43"/>
      <c r="R11" s="43"/>
      <c r="S11" s="43"/>
    </row>
    <row r="12" ht="15.75">
      <c r="B12" s="81">
        <v>8</v>
      </c>
      <c r="C12" s="43"/>
      <c r="D12" s="43"/>
      <c r="E12" s="82">
        <f t="shared" si="40"/>
        <v>438.9740109999999</v>
      </c>
      <c r="F12" s="83">
        <f t="shared" si="35"/>
        <v>1404.7168351999999</v>
      </c>
      <c r="G12" s="84">
        <f t="shared" si="36"/>
        <v>798.9740109999999</v>
      </c>
      <c r="H12" s="43"/>
      <c r="I12" s="82">
        <f t="shared" si="37"/>
        <v>1311.7268531258219</v>
      </c>
      <c r="J12" s="84">
        <f t="shared" si="38"/>
        <v>38677.455235446891</v>
      </c>
      <c r="K12" s="43"/>
      <c r="L12" s="85">
        <f t="shared" si="39"/>
        <v>14047.168351999999</v>
      </c>
      <c r="M12" s="43"/>
      <c r="N12" s="43"/>
      <c r="O12" s="43"/>
      <c r="P12" s="43"/>
      <c r="Q12" s="43"/>
      <c r="R12" s="43"/>
      <c r="S12" s="43"/>
    </row>
    <row r="13">
      <c r="B13" s="78">
        <v>9</v>
      </c>
      <c r="C13" s="43"/>
      <c r="D13" s="43"/>
      <c r="E13" s="78">
        <f t="shared" si="40"/>
        <v>518.87141209999993</v>
      </c>
      <c r="F13" s="78">
        <f t="shared" si="35"/>
        <v>1660.3885187199999</v>
      </c>
      <c r="G13" s="78">
        <f t="shared" si="36"/>
        <v>878.87141209999993</v>
      </c>
      <c r="H13" s="43"/>
      <c r="I13" s="78">
        <f t="shared" si="37"/>
        <v>1550.4734847979066</v>
      </c>
      <c r="J13" s="78">
        <f t="shared" si="38"/>
        <v>45717.116074215301</v>
      </c>
      <c r="K13" s="43"/>
      <c r="L13" s="78">
        <f t="shared" si="39"/>
        <v>16603.885187199998</v>
      </c>
      <c r="M13" s="43"/>
      <c r="N13" s="43"/>
      <c r="O13" s="43"/>
      <c r="P13" s="43"/>
      <c r="Q13" s="43"/>
      <c r="R13" s="43"/>
      <c r="S13" s="43"/>
    </row>
    <row r="14">
      <c r="B14" s="79">
        <v>10</v>
      </c>
      <c r="C14" s="43"/>
      <c r="D14" s="43"/>
      <c r="E14" s="79">
        <f t="shared" si="40"/>
        <v>606.75855330999991</v>
      </c>
      <c r="F14" s="79">
        <f t="shared" si="35"/>
        <v>1941.6273705919998</v>
      </c>
      <c r="G14" s="79">
        <f t="shared" si="36"/>
        <v>966.75855330999991</v>
      </c>
      <c r="H14" s="43"/>
      <c r="I14" s="79">
        <f t="shared" si="37"/>
        <v>1813.0947796371993</v>
      </c>
      <c r="J14" s="79">
        <f t="shared" si="38"/>
        <v>53460.742996860557</v>
      </c>
      <c r="K14" s="43"/>
      <c r="L14" s="79">
        <f t="shared" si="39"/>
        <v>19416.273705919997</v>
      </c>
      <c r="M14" s="43"/>
      <c r="N14" s="43"/>
      <c r="O14" s="43"/>
      <c r="P14" s="43"/>
      <c r="Q14" s="43"/>
      <c r="R14" s="43"/>
      <c r="S14" s="43"/>
    </row>
    <row r="15" ht="15.75">
      <c r="B15" s="80">
        <v>11</v>
      </c>
      <c r="C15" s="43"/>
      <c r="D15" s="43"/>
      <c r="E15" s="80">
        <f t="shared" si="40"/>
        <v>703.43440864099989</v>
      </c>
      <c r="F15" s="80">
        <f t="shared" si="35"/>
        <v>2250.9901076511997</v>
      </c>
      <c r="G15" s="80">
        <f t="shared" si="36"/>
        <v>1063.4344086409999</v>
      </c>
      <c r="H15" s="43"/>
      <c r="I15" s="80">
        <f t="shared" si="37"/>
        <v>2101.9782039604215</v>
      </c>
      <c r="J15" s="80">
        <f t="shared" si="38"/>
        <v>61978.732611770327</v>
      </c>
      <c r="K15" s="43"/>
      <c r="L15" s="80">
        <f t="shared" si="39"/>
        <v>22509.901076511997</v>
      </c>
      <c r="M15" s="43"/>
      <c r="N15" s="43"/>
      <c r="O15" s="43"/>
      <c r="P15" s="43"/>
      <c r="Q15" s="43"/>
      <c r="R15" s="43"/>
      <c r="S15" s="43"/>
    </row>
    <row r="16" ht="15.75">
      <c r="B16" s="81">
        <v>12</v>
      </c>
      <c r="C16" s="43"/>
      <c r="D16" s="43"/>
      <c r="E16" s="82">
        <f t="shared" si="40"/>
        <v>809.77784950509988</v>
      </c>
      <c r="F16" s="83">
        <f t="shared" si="35"/>
        <v>2591.28911841632</v>
      </c>
      <c r="G16" s="84">
        <f t="shared" si="36"/>
        <v>1169.7778495050998</v>
      </c>
      <c r="H16" s="43"/>
      <c r="I16" s="82">
        <f t="shared" si="37"/>
        <v>2419.7499707159664</v>
      </c>
      <c r="J16" s="84">
        <f t="shared" si="38"/>
        <v>71348.5211881711</v>
      </c>
      <c r="K16" s="43"/>
      <c r="L16" s="85">
        <f t="shared" si="39"/>
        <v>25912.8911841632</v>
      </c>
      <c r="M16" s="43"/>
      <c r="N16" s="43"/>
      <c r="O16" s="43"/>
      <c r="P16" s="43"/>
      <c r="Q16" s="43"/>
      <c r="R16" s="43"/>
      <c r="S16" s="43"/>
    </row>
    <row r="17">
      <c r="B17" s="78">
        <v>13</v>
      </c>
      <c r="C17" s="43"/>
      <c r="D17" s="43"/>
      <c r="E17" s="78">
        <f t="shared" si="40"/>
        <v>926.75563445560988</v>
      </c>
      <c r="F17" s="78">
        <f t="shared" si="35"/>
        <v>2965.6180302579519</v>
      </c>
      <c r="G17" s="78">
        <f t="shared" si="36"/>
        <v>1286.7556344556099</v>
      </c>
      <c r="H17" s="43"/>
      <c r="I17" s="78">
        <f t="shared" si="37"/>
        <v>2769.2989141470653</v>
      </c>
      <c r="J17" s="78">
        <f t="shared" si="38"/>
        <v>81655.288622211941</v>
      </c>
      <c r="K17" s="43"/>
      <c r="L17" s="78">
        <f t="shared" si="39"/>
        <v>29656.18030257952</v>
      </c>
      <c r="M17" s="43"/>
      <c r="N17" s="43"/>
      <c r="O17" s="43"/>
      <c r="P17" s="43"/>
      <c r="Q17" s="43"/>
      <c r="R17" s="43"/>
      <c r="S17" s="43"/>
    </row>
    <row r="18">
      <c r="B18" s="79">
        <v>14</v>
      </c>
      <c r="C18" s="43"/>
      <c r="D18" s="43"/>
      <c r="E18" s="79">
        <f t="shared" si="40"/>
        <v>1055.4311979011709</v>
      </c>
      <c r="F18" s="79">
        <f t="shared" si="35"/>
        <v>3377.3798332837468</v>
      </c>
      <c r="G18" s="79">
        <f t="shared" si="36"/>
        <v>1415.4311979011709</v>
      </c>
      <c r="H18" s="43"/>
      <c r="I18" s="79">
        <f t="shared" si="37"/>
        <v>3153.8027519212737</v>
      </c>
      <c r="J18" s="79">
        <f t="shared" si="38"/>
        <v>92992.732799656835</v>
      </c>
      <c r="K18" s="43"/>
      <c r="L18" s="79">
        <f t="shared" si="39"/>
        <v>33773.798332837468</v>
      </c>
      <c r="M18" s="43"/>
      <c r="N18" s="43"/>
      <c r="O18" s="43"/>
      <c r="P18" s="43"/>
      <c r="Q18" s="43"/>
      <c r="R18" s="43"/>
      <c r="S18" s="43"/>
    </row>
    <row r="19">
      <c r="B19" s="79">
        <v>15</v>
      </c>
      <c r="C19" s="43"/>
      <c r="D19" s="43"/>
      <c r="E19" s="79">
        <f t="shared" si="40"/>
        <v>1196.974317691288</v>
      </c>
      <c r="F19" s="79">
        <f t="shared" si="35"/>
        <v>3830.3178166121215</v>
      </c>
      <c r="G19" s="79">
        <f t="shared" si="36"/>
        <v>1556.974317691288</v>
      </c>
      <c r="H19" s="43"/>
      <c r="I19" s="79">
        <f t="shared" si="37"/>
        <v>3576.7569734729041</v>
      </c>
      <c r="J19" s="79">
        <f t="shared" si="38"/>
        <v>105463.92139484626</v>
      </c>
      <c r="K19" s="43"/>
      <c r="L19" s="79">
        <f t="shared" si="39"/>
        <v>38303.178166121215</v>
      </c>
      <c r="M19" s="43"/>
      <c r="N19" s="43"/>
      <c r="O19" s="43"/>
      <c r="P19" s="43"/>
      <c r="Q19" s="43"/>
      <c r="R19" s="43"/>
      <c r="S19" s="43"/>
    </row>
    <row r="20"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</row>
    <row r="21"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</row>
    <row r="26">
      <c r="S26" s="43"/>
    </row>
    <row r="27">
      <c r="B27" s="86"/>
      <c r="C27" s="87"/>
      <c r="D27" s="87"/>
      <c r="E27" s="87"/>
      <c r="F27" s="87"/>
      <c r="G27" s="87"/>
      <c r="H27" s="87"/>
      <c r="I27" s="88"/>
      <c r="J27" s="46"/>
      <c r="K27" s="89"/>
      <c r="L27" s="89"/>
      <c r="M27" s="89"/>
      <c r="N27" s="89"/>
      <c r="O27" s="89"/>
      <c r="P27" s="46"/>
      <c r="Q27" s="90"/>
      <c r="R27" s="90"/>
      <c r="S27" s="43"/>
      <c r="U27" s="91"/>
    </row>
    <row r="28">
      <c r="B28" s="92" t="s">
        <v>1</v>
      </c>
      <c r="C28" s="92" t="s">
        <v>2</v>
      </c>
      <c r="D28" s="92" t="s">
        <v>3</v>
      </c>
      <c r="E28" s="92" t="s">
        <v>4</v>
      </c>
      <c r="F28" s="92" t="s">
        <v>465</v>
      </c>
      <c r="G28" s="92" t="s">
        <v>6</v>
      </c>
      <c r="H28" s="93" t="s">
        <v>7</v>
      </c>
      <c r="I28" s="93" t="s">
        <v>8</v>
      </c>
      <c r="K28" s="92" t="s">
        <v>9</v>
      </c>
      <c r="L28" s="92" t="s">
        <v>10</v>
      </c>
      <c r="M28" s="92" t="s">
        <v>11</v>
      </c>
      <c r="N28" s="92" t="s">
        <v>12</v>
      </c>
      <c r="O28" s="93" t="s">
        <v>13</v>
      </c>
      <c r="P28" s="46"/>
      <c r="Q28" s="93" t="s">
        <v>14</v>
      </c>
      <c r="R28" s="93" t="s">
        <v>15</v>
      </c>
      <c r="S28" s="43"/>
      <c r="U28" s="94" t="s">
        <v>466</v>
      </c>
    </row>
    <row r="29" ht="15.75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</row>
    <row r="30" ht="15.75">
      <c r="A30" s="95">
        <f>R30/L8</f>
        <v>0.98301064885805356</v>
      </c>
      <c r="B30" s="96">
        <v>381</v>
      </c>
      <c r="C30" s="97">
        <v>1</v>
      </c>
      <c r="D30" s="97">
        <v>9</v>
      </c>
      <c r="E30" s="97">
        <v>1.9199999999999999</v>
      </c>
      <c r="F30" s="97">
        <f>(2*B30+C30+D30)/(E30*2)</f>
        <v>201.04166666666669</v>
      </c>
      <c r="G30" s="97">
        <v>600</v>
      </c>
      <c r="H30" s="98">
        <f>F30*5.3544563483342</f>
        <v>1076.4688283630214</v>
      </c>
      <c r="I30" s="99">
        <f>(10000/F30)/((10000/F30)-(G30/300))</f>
        <v>1.0418927718688951</v>
      </c>
      <c r="J30" s="43"/>
      <c r="K30" s="100">
        <v>16200</v>
      </c>
      <c r="L30" s="101">
        <v>9</v>
      </c>
      <c r="M30" s="101">
        <v>0.059999999999999998</v>
      </c>
      <c r="N30" s="101">
        <f>K30*(L30*M30+1)</f>
        <v>24948</v>
      </c>
      <c r="O30" s="99">
        <f>N30*0.18159375101708</f>
        <v>4530.4009003741121</v>
      </c>
      <c r="P30" s="43"/>
      <c r="Q30" s="102">
        <v>0</v>
      </c>
      <c r="R30" s="99">
        <f>(H30+O30+Q30)*I30</f>
        <v>5841.7570431817312</v>
      </c>
      <c r="S30" s="43">
        <f>(R30/300)</f>
        <v>19.472523477272436</v>
      </c>
    </row>
    <row r="31">
      <c r="S31" s="43"/>
    </row>
  </sheetData>
  <mergeCells count="3">
    <mergeCell ref="B27:I27"/>
    <mergeCell ref="K27:O27"/>
    <mergeCell ref="Q27:R2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topLeftCell="A16" zoomScale="100" workbookViewId="0">
      <selection activeCell="U20" activeCellId="0" sqref="U20:Y40"/>
    </sheetView>
  </sheetViews>
  <sheetFormatPr defaultRowHeight="15"/>
  <cols>
    <col customWidth="1" min="1" max="1" width="11.5703125"/>
    <col customWidth="1" min="7" max="7" width="9.140625"/>
  </cols>
  <sheetData>
    <row r="1">
      <c r="A1" s="2"/>
      <c r="B1" s="3"/>
      <c r="C1" s="4"/>
      <c r="D1" s="4"/>
      <c r="E1" s="4"/>
      <c r="F1" s="4"/>
      <c r="G1" s="4"/>
      <c r="H1" s="4"/>
      <c r="I1" s="5"/>
      <c r="J1" s="2"/>
      <c r="K1" s="44"/>
      <c r="L1" s="44"/>
      <c r="M1" s="44"/>
      <c r="N1" s="44"/>
      <c r="O1" s="44"/>
      <c r="P1" s="2"/>
      <c r="Q1" s="10"/>
      <c r="R1" s="11"/>
    </row>
    <row r="2" ht="15.75">
      <c r="A2" s="14" t="s">
        <v>467</v>
      </c>
      <c r="B2" s="15" t="s">
        <v>1</v>
      </c>
      <c r="C2" s="16" t="s">
        <v>2</v>
      </c>
      <c r="D2" s="16" t="s">
        <v>3</v>
      </c>
      <c r="E2" s="16" t="s">
        <v>4</v>
      </c>
      <c r="F2" s="16" t="s">
        <v>5</v>
      </c>
      <c r="G2" s="16" t="s">
        <v>6</v>
      </c>
      <c r="H2" s="17" t="s">
        <v>7</v>
      </c>
      <c r="I2" s="17" t="s">
        <v>8</v>
      </c>
      <c r="J2" s="2"/>
      <c r="K2" s="16" t="s">
        <v>9</v>
      </c>
      <c r="L2" s="16" t="s">
        <v>10</v>
      </c>
      <c r="M2" s="16" t="s">
        <v>11</v>
      </c>
      <c r="N2" s="16" t="s">
        <v>12</v>
      </c>
      <c r="O2" s="17" t="s">
        <v>13</v>
      </c>
      <c r="P2" s="2"/>
      <c r="Q2" s="17" t="s">
        <v>14</v>
      </c>
      <c r="R2" s="19" t="s">
        <v>15</v>
      </c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1"/>
    </row>
    <row r="4">
      <c r="A4" s="40" t="s">
        <v>468</v>
      </c>
      <c r="B4" s="27">
        <v>1</v>
      </c>
      <c r="C4" s="24">
        <v>1</v>
      </c>
      <c r="D4" s="24">
        <v>4</v>
      </c>
      <c r="E4" s="24">
        <v>3.5</v>
      </c>
      <c r="F4" s="24">
        <f t="shared" ref="F4:F9" si="41">(2*B4+C4+D4)/(E4*2)</f>
        <v>1</v>
      </c>
      <c r="G4" s="24"/>
      <c r="H4" s="24">
        <f t="shared" ref="H4:H11" si="42">F4*5.3544563483342</f>
        <v>5.3544563483341996</v>
      </c>
      <c r="I4" s="25">
        <v>1</v>
      </c>
      <c r="J4" s="26"/>
      <c r="K4" s="27">
        <v>6</v>
      </c>
      <c r="L4" s="24">
        <v>0</v>
      </c>
      <c r="M4" s="24">
        <v>0.059999999999999998</v>
      </c>
      <c r="N4" s="24">
        <f t="shared" ref="N4:N11" si="43">K4*(L4*M4+1)</f>
        <v>6</v>
      </c>
      <c r="O4" s="25">
        <f t="shared" ref="O4:O11" si="44">N4*0.18159375101708</f>
        <v>1.0895625061024801</v>
      </c>
      <c r="P4" s="26"/>
      <c r="Q4" s="27">
        <v>0</v>
      </c>
      <c r="R4" s="54">
        <f t="shared" ref="R4:R11" si="45">(H4+O4+Q4)*I4</f>
        <v>6.4440188544366794</v>
      </c>
      <c r="S4" s="103">
        <v>1</v>
      </c>
    </row>
    <row r="5">
      <c r="A5" s="40" t="s">
        <v>469</v>
      </c>
      <c r="B5" s="33">
        <v>3</v>
      </c>
      <c r="C5" s="26">
        <v>2</v>
      </c>
      <c r="D5" s="26">
        <v>5</v>
      </c>
      <c r="E5" s="26">
        <v>2.4500000000000002</v>
      </c>
      <c r="F5" s="26">
        <f t="shared" si="41"/>
        <v>2.6530612244897958</v>
      </c>
      <c r="G5" s="26"/>
      <c r="H5" s="26">
        <f t="shared" si="42"/>
        <v>14.205700515988692</v>
      </c>
      <c r="I5" s="31">
        <f t="shared" ref="I5:I9" si="46">(500/F5)/((500/F5)-(G5/300))</f>
        <v>1</v>
      </c>
      <c r="J5" s="26"/>
      <c r="K5" s="33">
        <v>200</v>
      </c>
      <c r="L5" s="26">
        <v>0</v>
      </c>
      <c r="M5" s="26">
        <v>0.059999999999999998</v>
      </c>
      <c r="N5" s="26">
        <f t="shared" si="43"/>
        <v>200</v>
      </c>
      <c r="O5" s="31">
        <f t="shared" si="44"/>
        <v>36.318750203416002</v>
      </c>
      <c r="P5" s="26"/>
      <c r="Q5" s="33">
        <v>0</v>
      </c>
      <c r="R5" s="48">
        <f t="shared" si="45"/>
        <v>50.524450719404697</v>
      </c>
    </row>
    <row r="6">
      <c r="A6" s="40" t="s">
        <v>470</v>
      </c>
      <c r="B6" s="33">
        <v>13</v>
      </c>
      <c r="C6" s="26">
        <v>1</v>
      </c>
      <c r="D6" s="26">
        <v>4</v>
      </c>
      <c r="E6" s="26">
        <v>2.3500000000000001</v>
      </c>
      <c r="F6" s="26">
        <f t="shared" si="41"/>
        <v>6.5957446808510634</v>
      </c>
      <c r="G6" s="26"/>
      <c r="H6" s="26">
        <f t="shared" si="42"/>
        <v>35.316626978374508</v>
      </c>
      <c r="I6" s="31">
        <f t="shared" si="46"/>
        <v>1</v>
      </c>
      <c r="J6" s="26"/>
      <c r="K6" s="33">
        <v>140</v>
      </c>
      <c r="L6" s="26">
        <v>3</v>
      </c>
      <c r="M6" s="26">
        <v>0.059999999999999998</v>
      </c>
      <c r="N6" s="26">
        <f t="shared" si="43"/>
        <v>165.19999999999999</v>
      </c>
      <c r="O6" s="31">
        <f t="shared" si="44"/>
        <v>29.999287668021616</v>
      </c>
      <c r="P6" s="26"/>
      <c r="Q6" s="33">
        <v>0</v>
      </c>
      <c r="R6" s="48">
        <f t="shared" si="45"/>
        <v>65.315914646396124</v>
      </c>
      <c r="S6" s="103">
        <v>2</v>
      </c>
    </row>
    <row r="7">
      <c r="A7" s="40" t="s">
        <v>471</v>
      </c>
      <c r="B7" s="33">
        <v>3</v>
      </c>
      <c r="C7" s="26">
        <v>1</v>
      </c>
      <c r="D7" s="26">
        <v>2</v>
      </c>
      <c r="E7" s="26">
        <v>2.3500000000000001</v>
      </c>
      <c r="F7" s="26">
        <f t="shared" si="41"/>
        <v>1.9148936170212765</v>
      </c>
      <c r="G7" s="26"/>
      <c r="H7" s="26">
        <f t="shared" si="42"/>
        <v>10.253214284044212</v>
      </c>
      <c r="I7" s="31">
        <f t="shared" si="46"/>
        <v>1</v>
      </c>
      <c r="K7" s="33">
        <v>25</v>
      </c>
      <c r="L7" s="26">
        <v>0</v>
      </c>
      <c r="M7" s="26">
        <v>0.059999999999999998</v>
      </c>
      <c r="N7" s="26">
        <f t="shared" si="43"/>
        <v>25</v>
      </c>
      <c r="O7" s="31">
        <f t="shared" si="44"/>
        <v>4.5398437754270002</v>
      </c>
      <c r="Q7" s="33">
        <v>0</v>
      </c>
      <c r="R7" s="48">
        <f t="shared" si="45"/>
        <v>14.793058059471212</v>
      </c>
      <c r="S7" s="103">
        <v>3</v>
      </c>
    </row>
    <row r="8">
      <c r="A8" s="40" t="s">
        <v>472</v>
      </c>
      <c r="B8" s="33">
        <v>16</v>
      </c>
      <c r="C8" s="26">
        <v>1</v>
      </c>
      <c r="D8" s="26">
        <v>4</v>
      </c>
      <c r="E8" s="26">
        <v>2.1499999999999999</v>
      </c>
      <c r="F8" s="26">
        <f t="shared" si="41"/>
        <v>8.6046511627906987</v>
      </c>
      <c r="G8" s="26">
        <v>400</v>
      </c>
      <c r="H8" s="26">
        <f t="shared" si="42"/>
        <v>46.07322904380591</v>
      </c>
      <c r="I8" s="31">
        <f t="shared" si="46"/>
        <v>1.023484608060933</v>
      </c>
      <c r="K8" s="33">
        <v>200</v>
      </c>
      <c r="L8" s="26">
        <v>10</v>
      </c>
      <c r="M8" s="26">
        <v>0.059999999999999998</v>
      </c>
      <c r="N8" s="26">
        <f t="shared" si="43"/>
        <v>320</v>
      </c>
      <c r="O8" s="31">
        <f t="shared" si="44"/>
        <v>58.110000325465599</v>
      </c>
      <c r="Q8" s="33">
        <v>4</v>
      </c>
      <c r="R8" s="48">
        <f t="shared" si="45"/>
        <v>110.72387010977488</v>
      </c>
    </row>
    <row r="9">
      <c r="A9" s="40" t="s">
        <v>473</v>
      </c>
      <c r="B9" s="33">
        <v>4</v>
      </c>
      <c r="C9" s="26">
        <v>1</v>
      </c>
      <c r="D9" s="26">
        <v>5</v>
      </c>
      <c r="E9" s="26">
        <v>2.3999999999999999</v>
      </c>
      <c r="F9" s="26">
        <f t="shared" si="41"/>
        <v>2.916666666666667</v>
      </c>
      <c r="G9" s="26">
        <v>350</v>
      </c>
      <c r="H9" s="26">
        <f t="shared" si="42"/>
        <v>15.617164349308084</v>
      </c>
      <c r="I9" s="31">
        <f t="shared" si="46"/>
        <v>1.0068521885051041</v>
      </c>
      <c r="K9" s="33">
        <v>30</v>
      </c>
      <c r="L9" s="26">
        <v>0</v>
      </c>
      <c r="M9" s="26">
        <v>0.059999999999999998</v>
      </c>
      <c r="N9" s="26">
        <f t="shared" si="43"/>
        <v>30</v>
      </c>
      <c r="O9" s="31">
        <f t="shared" si="44"/>
        <v>5.4478125305124001</v>
      </c>
      <c r="Q9" s="33">
        <v>0</v>
      </c>
      <c r="R9" s="48">
        <f t="shared" si="45"/>
        <v>21.209318072256671</v>
      </c>
      <c r="S9" s="103">
        <v>4</v>
      </c>
    </row>
    <row r="10">
      <c r="A10" s="40" t="s">
        <v>474</v>
      </c>
      <c r="B10" s="33">
        <v>42</v>
      </c>
      <c r="C10" s="26">
        <v>1</v>
      </c>
      <c r="D10" s="26">
        <v>7</v>
      </c>
      <c r="E10" s="26">
        <v>2.2000000000000002</v>
      </c>
      <c r="F10" s="26">
        <f t="shared" ref="F10:F17" si="47">(2*B10+C10+D10)/(E10*2)</f>
        <v>20.909090909090907</v>
      </c>
      <c r="G10" s="26"/>
      <c r="H10" s="26">
        <f t="shared" si="42"/>
        <v>111.95681455607871</v>
      </c>
      <c r="I10" s="31">
        <v>1</v>
      </c>
      <c r="K10" s="33">
        <v>880</v>
      </c>
      <c r="L10" s="26">
        <v>10</v>
      </c>
      <c r="M10" s="26">
        <v>0.059999999999999998</v>
      </c>
      <c r="N10" s="26">
        <f t="shared" si="43"/>
        <v>1408</v>
      </c>
      <c r="O10" s="31">
        <f t="shared" si="44"/>
        <v>255.68400143204863</v>
      </c>
      <c r="Q10" s="33">
        <v>180</v>
      </c>
      <c r="R10" s="48">
        <f t="shared" si="45"/>
        <v>547.64081598812731</v>
      </c>
      <c r="S10" s="103">
        <v>5</v>
      </c>
    </row>
    <row r="11">
      <c r="A11" s="40" t="s">
        <v>475</v>
      </c>
      <c r="B11" s="33">
        <v>33</v>
      </c>
      <c r="C11" s="26">
        <v>1</v>
      </c>
      <c r="D11" s="26">
        <v>6</v>
      </c>
      <c r="E11" s="26">
        <v>2.5</v>
      </c>
      <c r="F11" s="26">
        <f t="shared" si="47"/>
        <v>14.6</v>
      </c>
      <c r="G11" s="26">
        <v>400</v>
      </c>
      <c r="H11" s="26">
        <f t="shared" si="42"/>
        <v>78.175062685679308</v>
      </c>
      <c r="I11" s="31">
        <f t="shared" ref="I11:I16" si="48">(500/F11)/((500/F11)-(G11/300))</f>
        <v>1.0405105438401776</v>
      </c>
      <c r="J11" s="2"/>
      <c r="K11" s="33">
        <v>400</v>
      </c>
      <c r="L11" s="26">
        <v>3</v>
      </c>
      <c r="M11" s="26">
        <v>0.059999999999999998</v>
      </c>
      <c r="N11" s="26">
        <f t="shared" si="43"/>
        <v>472</v>
      </c>
      <c r="O11" s="31">
        <f t="shared" si="44"/>
        <v>85.712250480061755</v>
      </c>
      <c r="P11" s="2"/>
      <c r="Q11" s="33">
        <v>150</v>
      </c>
      <c r="R11" s="48">
        <f t="shared" si="45"/>
        <v>326.60305892661734</v>
      </c>
    </row>
    <row r="12">
      <c r="A12" s="40" t="s">
        <v>476</v>
      </c>
      <c r="B12" s="33">
        <v>4</v>
      </c>
      <c r="C12" s="26">
        <v>1</v>
      </c>
      <c r="D12" s="26">
        <v>4</v>
      </c>
      <c r="E12" s="104">
        <v>2.6499999999999999</v>
      </c>
      <c r="F12" s="26">
        <f t="shared" si="47"/>
        <v>2.4528301886792452</v>
      </c>
      <c r="G12" s="26">
        <v>400</v>
      </c>
      <c r="H12" s="26">
        <f t="shared" ref="H12:H17" si="49">F12*5.3544563483342</f>
        <v>13.133572175159356</v>
      </c>
      <c r="I12" s="31">
        <f t="shared" si="48"/>
        <v>1.0065839453026082</v>
      </c>
      <c r="J12" s="2"/>
      <c r="K12" s="33">
        <v>24</v>
      </c>
      <c r="L12" s="26">
        <v>6</v>
      </c>
      <c r="M12" s="26">
        <v>0.059999999999999998</v>
      </c>
      <c r="N12" s="26">
        <f t="shared" ref="N12:N17" si="50">K12*(L12*M12+1)</f>
        <v>32.640000000000001</v>
      </c>
      <c r="O12" s="31">
        <f t="shared" ref="O12:O17" si="51">N12*0.18159375101708</f>
        <v>5.9272200331974911</v>
      </c>
      <c r="P12" s="2"/>
      <c r="Q12" s="33">
        <v>10</v>
      </c>
      <c r="R12" s="48">
        <f t="shared" ref="R12:R17" si="52">(H12+O12+Q12)*I12</f>
        <v>29.25212687470713</v>
      </c>
      <c r="S12" s="103">
        <v>6</v>
      </c>
    </row>
    <row r="13">
      <c r="A13" s="40" t="s">
        <v>477</v>
      </c>
      <c r="B13" s="33">
        <v>29</v>
      </c>
      <c r="C13" s="26">
        <v>1</v>
      </c>
      <c r="D13" s="26">
        <v>6</v>
      </c>
      <c r="E13" s="26">
        <v>2.3500000000000001</v>
      </c>
      <c r="F13" s="26">
        <f t="shared" si="47"/>
        <v>13.829787234042552</v>
      </c>
      <c r="G13" s="26"/>
      <c r="H13" s="26">
        <f t="shared" si="49"/>
        <v>74.050992051430413</v>
      </c>
      <c r="I13" s="31">
        <v>1</v>
      </c>
      <c r="K13" s="33">
        <v>675</v>
      </c>
      <c r="L13" s="26">
        <v>8</v>
      </c>
      <c r="M13" s="26">
        <v>0.059999999999999998</v>
      </c>
      <c r="N13" s="26">
        <f t="shared" si="50"/>
        <v>999</v>
      </c>
      <c r="O13" s="31">
        <f t="shared" si="51"/>
        <v>181.41215726606293</v>
      </c>
      <c r="Q13" s="33">
        <v>40</v>
      </c>
      <c r="R13" s="48">
        <f t="shared" si="52"/>
        <v>295.46314931749333</v>
      </c>
      <c r="S13" s="103">
        <v>7</v>
      </c>
    </row>
    <row r="14">
      <c r="A14" s="40" t="s">
        <v>478</v>
      </c>
      <c r="B14" s="33">
        <v>61</v>
      </c>
      <c r="C14" s="26">
        <v>1</v>
      </c>
      <c r="D14" s="26">
        <v>12</v>
      </c>
      <c r="E14" s="26">
        <v>2.2999999999999998</v>
      </c>
      <c r="F14" s="26">
        <f t="shared" si="47"/>
        <v>29.347826086956523</v>
      </c>
      <c r="G14" s="26">
        <v>500</v>
      </c>
      <c r="H14" s="26">
        <f t="shared" si="49"/>
        <v>157.14165370111238</v>
      </c>
      <c r="I14" s="31">
        <f t="shared" si="48"/>
        <v>1.1084337349397591</v>
      </c>
      <c r="K14" s="33">
        <v>430</v>
      </c>
      <c r="L14" s="26">
        <v>0</v>
      </c>
      <c r="M14" s="26">
        <v>0.059999999999999998</v>
      </c>
      <c r="N14" s="26">
        <f t="shared" si="50"/>
        <v>430</v>
      </c>
      <c r="O14" s="31">
        <f t="shared" si="51"/>
        <v>78.085312937344398</v>
      </c>
      <c r="Q14" s="33">
        <v>55</v>
      </c>
      <c r="R14" s="48">
        <f t="shared" si="52"/>
        <v>321.69736061130146</v>
      </c>
      <c r="S14" s="103">
        <v>8</v>
      </c>
    </row>
    <row r="15">
      <c r="A15" s="40" t="s">
        <v>479</v>
      </c>
      <c r="B15" s="33">
        <v>6</v>
      </c>
      <c r="C15" s="26">
        <v>1</v>
      </c>
      <c r="D15" s="26">
        <v>3</v>
      </c>
      <c r="E15" s="26">
        <v>2.5</v>
      </c>
      <c r="F15" s="26">
        <f t="shared" si="47"/>
        <v>3.2000000000000002</v>
      </c>
      <c r="G15" s="26"/>
      <c r="H15" s="26">
        <f t="shared" si="49"/>
        <v>17.13426031466944</v>
      </c>
      <c r="I15" s="31">
        <f t="shared" si="48"/>
        <v>1</v>
      </c>
      <c r="K15" s="33">
        <v>115</v>
      </c>
      <c r="L15" s="26">
        <v>1</v>
      </c>
      <c r="M15" s="26">
        <v>0.059999999999999998</v>
      </c>
      <c r="N15" s="26">
        <f t="shared" si="50"/>
        <v>121.90000000000001</v>
      </c>
      <c r="O15" s="31">
        <f t="shared" si="51"/>
        <v>22.136278248982052</v>
      </c>
      <c r="Q15" s="33">
        <v>8</v>
      </c>
      <c r="R15" s="48">
        <f t="shared" si="52"/>
        <v>47.270538563651492</v>
      </c>
      <c r="S15" s="103">
        <v>9</v>
      </c>
    </row>
    <row r="16">
      <c r="A16" s="40" t="s">
        <v>480</v>
      </c>
      <c r="B16" s="33">
        <v>25</v>
      </c>
      <c r="C16" s="26">
        <v>1</v>
      </c>
      <c r="D16" s="26">
        <v>5</v>
      </c>
      <c r="E16" s="26">
        <v>2</v>
      </c>
      <c r="F16" s="26">
        <f t="shared" si="47"/>
        <v>14</v>
      </c>
      <c r="G16" s="26"/>
      <c r="H16" s="26">
        <f t="shared" si="49"/>
        <v>74.962388876678801</v>
      </c>
      <c r="I16" s="31">
        <f t="shared" si="48"/>
        <v>1</v>
      </c>
      <c r="K16" s="33">
        <v>775</v>
      </c>
      <c r="L16" s="26">
        <v>8</v>
      </c>
      <c r="M16" s="26">
        <v>0.059999999999999998</v>
      </c>
      <c r="N16" s="26">
        <f t="shared" si="50"/>
        <v>1147</v>
      </c>
      <c r="O16" s="31">
        <f t="shared" si="51"/>
        <v>208.28803241659077</v>
      </c>
      <c r="Q16" s="33">
        <v>60</v>
      </c>
      <c r="R16" s="48">
        <f t="shared" si="52"/>
        <v>343.2504212932696</v>
      </c>
    </row>
    <row r="17">
      <c r="A17" s="40" t="s">
        <v>481</v>
      </c>
      <c r="B17" s="36">
        <v>150</v>
      </c>
      <c r="C17" s="35">
        <v>1</v>
      </c>
      <c r="D17" s="35">
        <v>16</v>
      </c>
      <c r="E17" s="35">
        <v>2</v>
      </c>
      <c r="F17" s="35">
        <f t="shared" si="47"/>
        <v>79.25</v>
      </c>
      <c r="G17" s="35"/>
      <c r="H17" s="35">
        <f t="shared" si="49"/>
        <v>424.3406656054853</v>
      </c>
      <c r="I17" s="37">
        <v>1</v>
      </c>
      <c r="J17" s="46"/>
      <c r="K17" s="36">
        <v>7500</v>
      </c>
      <c r="L17" s="35">
        <v>16</v>
      </c>
      <c r="M17" s="35">
        <v>0.059999999999999998</v>
      </c>
      <c r="N17" s="35">
        <f t="shared" si="50"/>
        <v>14700</v>
      </c>
      <c r="O17" s="37">
        <f t="shared" si="51"/>
        <v>2669.428139951076</v>
      </c>
      <c r="P17" s="46"/>
      <c r="Q17" s="36">
        <v>300</v>
      </c>
      <c r="R17" s="105">
        <f t="shared" si="52"/>
        <v>3393.7688055565613</v>
      </c>
      <c r="S17" s="103">
        <v>10</v>
      </c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46"/>
      <c r="K18" s="26"/>
      <c r="L18" s="26"/>
      <c r="M18" s="26"/>
      <c r="N18" s="26"/>
      <c r="O18" s="26"/>
      <c r="P18" s="46"/>
      <c r="Q18" s="26"/>
      <c r="R18" s="49"/>
    </row>
    <row r="19">
      <c r="A19" s="56" t="s">
        <v>153</v>
      </c>
      <c r="B19" s="106" t="s">
        <v>482</v>
      </c>
      <c r="C19" s="106" t="s">
        <v>483</v>
      </c>
      <c r="D19" s="106" t="s">
        <v>484</v>
      </c>
      <c r="E19" s="106" t="s">
        <v>485</v>
      </c>
      <c r="G19" s="107" t="s">
        <v>486</v>
      </c>
      <c r="H19" s="55" t="s">
        <v>152</v>
      </c>
      <c r="I19" s="56" t="s">
        <v>153</v>
      </c>
      <c r="J19" s="46"/>
      <c r="K19" s="26"/>
      <c r="L19" s="56" t="s">
        <v>153</v>
      </c>
      <c r="S19" s="55" t="s">
        <v>152</v>
      </c>
      <c r="T19" s="55" t="s">
        <v>487</v>
      </c>
    </row>
    <row r="20">
      <c r="A20" s="58">
        <v>1</v>
      </c>
      <c r="B20" s="57">
        <v>54</v>
      </c>
      <c r="C20" s="108">
        <f>R4</f>
        <v>6.4440188544366794</v>
      </c>
      <c r="D20" s="57">
        <v>1</v>
      </c>
      <c r="E20" s="108">
        <f>R5</f>
        <v>50.524450719404697</v>
      </c>
      <c r="G20" s="108">
        <f t="shared" ref="G20:G29" si="53">C20*B20+E20*D20</f>
        <v>398.50146885898539</v>
      </c>
      <c r="H20" s="57">
        <v>200</v>
      </c>
      <c r="I20" s="58">
        <v>1</v>
      </c>
      <c r="J20" s="46"/>
      <c r="K20" s="26"/>
      <c r="L20" s="58">
        <v>1</v>
      </c>
      <c r="S20" s="57">
        <v>200</v>
      </c>
      <c r="T20" s="57">
        <v>200</v>
      </c>
    </row>
    <row r="21">
      <c r="A21" s="58">
        <v>2</v>
      </c>
      <c r="B21" s="59">
        <v>6</v>
      </c>
      <c r="C21" s="109">
        <f t="shared" ref="C21:C22" si="54">R6</f>
        <v>65.315914646396124</v>
      </c>
      <c r="D21" s="59"/>
      <c r="E21" s="59"/>
      <c r="G21" s="109">
        <f t="shared" si="53"/>
        <v>391.89548787837674</v>
      </c>
      <c r="H21" s="59">
        <f t="shared" ref="H21:H40" si="55">H20+90+A20*30</f>
        <v>320</v>
      </c>
      <c r="I21" s="58">
        <v>2</v>
      </c>
      <c r="J21" s="46"/>
      <c r="K21" s="26"/>
      <c r="L21" s="58">
        <v>2</v>
      </c>
      <c r="S21" s="59">
        <f t="shared" ref="S21:S40" si="56">S20+90+L20*30</f>
        <v>320</v>
      </c>
      <c r="T21" s="59">
        <f t="shared" ref="T21:T40" si="57">S21+T20</f>
        <v>520</v>
      </c>
    </row>
    <row r="22">
      <c r="A22" s="58">
        <v>3</v>
      </c>
      <c r="B22" s="57">
        <v>44</v>
      </c>
      <c r="C22" s="108">
        <f t="shared" si="54"/>
        <v>14.793058059471212</v>
      </c>
      <c r="D22" s="57">
        <v>1</v>
      </c>
      <c r="E22" s="108">
        <f>R8</f>
        <v>110.72387010977488</v>
      </c>
      <c r="G22" s="108">
        <f t="shared" si="53"/>
        <v>761.61842472650824</v>
      </c>
      <c r="H22" s="59">
        <f t="shared" si="55"/>
        <v>470</v>
      </c>
      <c r="I22" s="58">
        <v>3</v>
      </c>
      <c r="J22" s="46"/>
      <c r="K22" s="46"/>
      <c r="L22" s="58">
        <v>3</v>
      </c>
      <c r="S22" s="59">
        <f t="shared" si="56"/>
        <v>470</v>
      </c>
      <c r="T22" s="59">
        <f t="shared" si="57"/>
        <v>990</v>
      </c>
    </row>
    <row r="23">
      <c r="A23" s="58">
        <v>4</v>
      </c>
      <c r="B23" s="59">
        <v>40</v>
      </c>
      <c r="C23" s="109">
        <f>R9</f>
        <v>21.209318072256671</v>
      </c>
      <c r="D23" s="59"/>
      <c r="E23" s="59"/>
      <c r="G23" s="109">
        <f t="shared" si="53"/>
        <v>848.37272289026691</v>
      </c>
      <c r="H23" s="59">
        <f t="shared" si="55"/>
        <v>650</v>
      </c>
      <c r="I23" s="58">
        <v>4</v>
      </c>
      <c r="J23" s="46"/>
      <c r="K23" s="46"/>
      <c r="L23" s="58">
        <v>4</v>
      </c>
      <c r="S23" s="59">
        <f t="shared" si="56"/>
        <v>650</v>
      </c>
      <c r="T23" s="59">
        <f t="shared" si="57"/>
        <v>1640</v>
      </c>
    </row>
    <row r="24">
      <c r="A24" s="58">
        <v>5</v>
      </c>
      <c r="B24" s="57">
        <v>2</v>
      </c>
      <c r="C24" s="108">
        <f>R10</f>
        <v>547.64081598812731</v>
      </c>
      <c r="D24" s="57">
        <v>1</v>
      </c>
      <c r="E24" s="108">
        <f>R11</f>
        <v>326.60305892661734</v>
      </c>
      <c r="G24" s="108">
        <f t="shared" si="53"/>
        <v>1421.8846909028721</v>
      </c>
      <c r="H24" s="59">
        <f t="shared" si="55"/>
        <v>860</v>
      </c>
      <c r="I24" s="58">
        <v>5</v>
      </c>
      <c r="J24" s="46"/>
      <c r="K24" s="46"/>
      <c r="L24" s="58">
        <v>5</v>
      </c>
      <c r="S24" s="59">
        <f t="shared" si="56"/>
        <v>860</v>
      </c>
      <c r="T24" s="59">
        <f t="shared" si="57"/>
        <v>2500</v>
      </c>
    </row>
    <row r="25">
      <c r="A25" s="58">
        <v>6</v>
      </c>
      <c r="B25" s="59">
        <v>65</v>
      </c>
      <c r="C25" s="109">
        <f t="shared" ref="C25:C28" si="58">R12</f>
        <v>29.25212687470713</v>
      </c>
      <c r="D25" s="59"/>
      <c r="E25" s="59"/>
      <c r="G25" s="109">
        <f t="shared" si="53"/>
        <v>1901.3882468559634</v>
      </c>
      <c r="H25" s="59">
        <f t="shared" si="55"/>
        <v>1100</v>
      </c>
      <c r="I25" s="58">
        <v>6</v>
      </c>
      <c r="J25" s="46"/>
      <c r="K25" s="46"/>
      <c r="L25" s="58">
        <v>6</v>
      </c>
      <c r="S25" s="59">
        <f t="shared" si="56"/>
        <v>1100</v>
      </c>
      <c r="T25" s="59">
        <f t="shared" si="57"/>
        <v>3600</v>
      </c>
    </row>
    <row r="26">
      <c r="A26" s="58">
        <v>7</v>
      </c>
      <c r="B26" s="57">
        <v>7</v>
      </c>
      <c r="C26" s="108">
        <f t="shared" si="58"/>
        <v>295.46314931749333</v>
      </c>
      <c r="D26" s="57"/>
      <c r="E26" s="57"/>
      <c r="G26" s="108">
        <f t="shared" si="53"/>
        <v>2068.2420452224533</v>
      </c>
      <c r="H26" s="59">
        <f t="shared" si="55"/>
        <v>1370</v>
      </c>
      <c r="I26" s="58">
        <v>7</v>
      </c>
      <c r="L26" s="58">
        <v>7</v>
      </c>
      <c r="S26" s="59">
        <f t="shared" si="56"/>
        <v>1370</v>
      </c>
      <c r="T26" s="59">
        <f t="shared" si="57"/>
        <v>4970</v>
      </c>
    </row>
    <row r="27">
      <c r="A27" s="58">
        <v>8</v>
      </c>
      <c r="B27" s="59">
        <v>8</v>
      </c>
      <c r="C27" s="109">
        <f t="shared" si="58"/>
        <v>321.69736061130146</v>
      </c>
      <c r="D27" s="59"/>
      <c r="E27" s="59"/>
      <c r="G27" s="109">
        <f t="shared" si="53"/>
        <v>2573.5788848904117</v>
      </c>
      <c r="H27" s="59">
        <f t="shared" si="55"/>
        <v>1670</v>
      </c>
      <c r="I27" s="58">
        <v>8</v>
      </c>
      <c r="L27" s="58">
        <v>8</v>
      </c>
      <c r="S27" s="59">
        <f t="shared" si="56"/>
        <v>1670</v>
      </c>
      <c r="T27" s="59">
        <f t="shared" si="57"/>
        <v>6640</v>
      </c>
    </row>
    <row r="28">
      <c r="A28" s="58">
        <v>9</v>
      </c>
      <c r="B28" s="57">
        <v>64</v>
      </c>
      <c r="C28" s="108">
        <f t="shared" si="58"/>
        <v>47.270538563651492</v>
      </c>
      <c r="D28" s="57">
        <v>1</v>
      </c>
      <c r="E28" s="108">
        <f>R16</f>
        <v>343.2504212932696</v>
      </c>
      <c r="G28" s="108">
        <f t="shared" si="53"/>
        <v>3368.564889366965</v>
      </c>
      <c r="H28" s="59">
        <f t="shared" si="55"/>
        <v>2000</v>
      </c>
      <c r="I28" s="58">
        <v>9</v>
      </c>
      <c r="L28" s="58">
        <v>9</v>
      </c>
      <c r="S28" s="59">
        <f t="shared" si="56"/>
        <v>2000</v>
      </c>
      <c r="T28" s="59">
        <f t="shared" si="57"/>
        <v>8640</v>
      </c>
    </row>
    <row r="29">
      <c r="A29" s="58">
        <v>10</v>
      </c>
      <c r="B29" s="59">
        <v>1</v>
      </c>
      <c r="C29" s="109">
        <f>R17</f>
        <v>3393.7688055565613</v>
      </c>
      <c r="D29" s="59"/>
      <c r="E29" s="59"/>
      <c r="G29" s="109">
        <f t="shared" si="53"/>
        <v>3393.7688055565613</v>
      </c>
      <c r="H29" s="59">
        <f t="shared" si="55"/>
        <v>2360</v>
      </c>
      <c r="I29" s="58">
        <v>10</v>
      </c>
      <c r="L29" s="58">
        <v>10</v>
      </c>
      <c r="S29" s="59">
        <f t="shared" si="56"/>
        <v>2360</v>
      </c>
      <c r="T29" s="59">
        <f t="shared" si="57"/>
        <v>11000</v>
      </c>
    </row>
    <row r="30">
      <c r="A30" s="58">
        <v>11</v>
      </c>
      <c r="H30" s="59">
        <f t="shared" si="55"/>
        <v>2750</v>
      </c>
      <c r="L30" s="58">
        <v>11</v>
      </c>
      <c r="S30" s="59">
        <f t="shared" si="56"/>
        <v>2750</v>
      </c>
      <c r="T30" s="59">
        <f t="shared" si="57"/>
        <v>13750</v>
      </c>
    </row>
    <row r="31">
      <c r="A31" s="58">
        <v>12</v>
      </c>
      <c r="H31" s="59">
        <f t="shared" si="55"/>
        <v>3170</v>
      </c>
      <c r="L31" s="58">
        <v>12</v>
      </c>
      <c r="S31" s="59">
        <f t="shared" si="56"/>
        <v>3170</v>
      </c>
      <c r="T31" s="59">
        <f t="shared" si="57"/>
        <v>16920</v>
      </c>
    </row>
    <row r="32">
      <c r="A32" s="58">
        <v>13</v>
      </c>
      <c r="H32" s="59">
        <f t="shared" si="55"/>
        <v>3620</v>
      </c>
      <c r="L32" s="58">
        <v>13</v>
      </c>
      <c r="S32" s="59">
        <f t="shared" si="56"/>
        <v>3620</v>
      </c>
      <c r="T32" s="59">
        <f t="shared" si="57"/>
        <v>20540</v>
      </c>
    </row>
    <row r="33">
      <c r="A33" s="58">
        <v>14</v>
      </c>
      <c r="H33" s="59">
        <f t="shared" si="55"/>
        <v>4100</v>
      </c>
      <c r="L33" s="58">
        <v>14</v>
      </c>
      <c r="S33" s="59">
        <f t="shared" si="56"/>
        <v>4100</v>
      </c>
      <c r="T33" s="59">
        <f t="shared" si="57"/>
        <v>24640</v>
      </c>
    </row>
    <row r="34">
      <c r="A34" s="58">
        <v>15</v>
      </c>
      <c r="H34" s="59">
        <f t="shared" si="55"/>
        <v>4610</v>
      </c>
      <c r="L34" s="58">
        <v>15</v>
      </c>
      <c r="S34" s="59">
        <f t="shared" si="56"/>
        <v>4610</v>
      </c>
      <c r="T34" s="59">
        <f t="shared" si="57"/>
        <v>29250</v>
      </c>
    </row>
    <row r="35">
      <c r="A35" s="58">
        <v>16</v>
      </c>
      <c r="H35" s="59">
        <f t="shared" si="55"/>
        <v>5150</v>
      </c>
      <c r="L35" s="58">
        <v>16</v>
      </c>
      <c r="S35" s="59">
        <f t="shared" si="56"/>
        <v>5150</v>
      </c>
      <c r="T35" s="59">
        <f t="shared" si="57"/>
        <v>34400</v>
      </c>
    </row>
    <row r="36">
      <c r="A36" s="58">
        <v>17</v>
      </c>
      <c r="H36" s="59">
        <f t="shared" si="55"/>
        <v>5720</v>
      </c>
      <c r="L36" s="58">
        <v>17</v>
      </c>
      <c r="S36" s="59">
        <f t="shared" si="56"/>
        <v>5720</v>
      </c>
      <c r="T36" s="59">
        <f t="shared" si="57"/>
        <v>40120</v>
      </c>
    </row>
    <row r="37">
      <c r="A37" s="58">
        <v>18</v>
      </c>
      <c r="H37" s="59">
        <f t="shared" si="55"/>
        <v>6320</v>
      </c>
      <c r="L37" s="58">
        <v>18</v>
      </c>
      <c r="S37" s="59">
        <f t="shared" si="56"/>
        <v>6320</v>
      </c>
      <c r="T37" s="59">
        <f t="shared" si="57"/>
        <v>46440</v>
      </c>
    </row>
    <row r="38">
      <c r="A38" s="58">
        <v>19</v>
      </c>
      <c r="H38" s="59">
        <f t="shared" si="55"/>
        <v>6950</v>
      </c>
      <c r="L38" s="58">
        <v>19</v>
      </c>
      <c r="S38" s="59">
        <f t="shared" si="56"/>
        <v>6950</v>
      </c>
      <c r="T38" s="59">
        <f t="shared" si="57"/>
        <v>53390</v>
      </c>
    </row>
    <row r="39">
      <c r="A39" s="58">
        <v>20</v>
      </c>
      <c r="H39" s="59">
        <f t="shared" si="55"/>
        <v>7610</v>
      </c>
      <c r="L39" s="58">
        <v>20</v>
      </c>
      <c r="S39" s="59">
        <f t="shared" si="56"/>
        <v>7610</v>
      </c>
      <c r="T39" s="59">
        <f t="shared" si="57"/>
        <v>61000</v>
      </c>
    </row>
    <row r="40">
      <c r="A40" s="58">
        <v>21</v>
      </c>
      <c r="H40" s="59">
        <f t="shared" si="55"/>
        <v>8300</v>
      </c>
      <c r="L40" s="58">
        <v>21</v>
      </c>
      <c r="S40" s="59">
        <f t="shared" si="56"/>
        <v>8300</v>
      </c>
      <c r="T40" s="59">
        <f t="shared" si="57"/>
        <v>69300</v>
      </c>
    </row>
  </sheetData>
  <mergeCells count="3">
    <mergeCell ref="B1:I1"/>
    <mergeCell ref="K1:O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priority="13" id="{00D000CC-00B3-4783-9255-00CD006B0096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F17</xm:sqref>
        </x14:conditionalFormatting>
        <x14:conditionalFormatting xmlns:xm="http://schemas.microsoft.com/office/excel/2006/main">
          <x14:cfRule type="dataBar" priority="11" id="{00F10054-00B1-4AE8-836D-007B009C008F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N4:N11 N13:N18</xm:sqref>
        </x14:conditionalFormatting>
        <x14:conditionalFormatting xmlns:xm="http://schemas.microsoft.com/office/excel/2006/main">
          <x14:cfRule type="dataBar" priority="10" id="{000D00DC-001F-4A16-B623-006800260070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R4:R11 R13:R18</xm:sqref>
        </x14:conditionalFormatting>
        <x14:conditionalFormatting xmlns:xm="http://schemas.microsoft.com/office/excel/2006/main">
          <x14:cfRule type="dataBar" priority="15" id="{009300B2-002A-4AFD-8B30-00460058009F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R1:R11 R13:R18</xm:sqref>
        </x14:conditionalFormatting>
        <x14:conditionalFormatting xmlns:xm="http://schemas.microsoft.com/office/excel/2006/main">
          <x14:cfRule type="dataBar" priority="17" id="{00C200E8-00C7-4033-8291-00FA00800095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N1:N11 N13:N18</xm:sqref>
        </x14:conditionalFormatting>
        <x14:conditionalFormatting xmlns:xm="http://schemas.microsoft.com/office/excel/2006/main">
          <x14:cfRule type="dataBar" priority="74" id="{0085003D-0071-4015-B399-001C00630063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F1:F11 F13:F14</xm:sqref>
        </x14:conditionalFormatting>
        <x14:conditionalFormatting xmlns:xm="http://schemas.microsoft.com/office/excel/2006/main">
          <x14:cfRule type="dataBar" priority="6" id="{006300BB-009B-48C4-9BAA-00BF00A50097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F12</xm:sqref>
        </x14:conditionalFormatting>
        <x14:conditionalFormatting xmlns:xm="http://schemas.microsoft.com/office/excel/2006/main">
          <x14:cfRule type="dataBar" priority="5" id="{00C00083-0069-472B-8DDF-00B6000100F3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N12</xm:sqref>
        </x14:conditionalFormatting>
        <x14:conditionalFormatting xmlns:xm="http://schemas.microsoft.com/office/excel/2006/main">
          <x14:cfRule type="dataBar" priority="4" id="{00A800DE-00C0-4F45-AE66-00D8007E00E9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R12</xm:sqref>
        </x14:conditionalFormatting>
        <x14:conditionalFormatting xmlns:xm="http://schemas.microsoft.com/office/excel/2006/main">
          <x14:cfRule type="dataBar" priority="7" id="{000300BE-0030-426C-B772-00F300FB0024}">
            <x14:dataBar maxLength="100" minLength="0" axisPosition="automatic" direction="context" gradient="0">
              <x14:cfvo type="autoMin"/>
              <x14:cfvo type="autoMax"/>
              <x14:fillColor rgb="FFFFB628"/>
              <x14:negativeFillColor indexed="2"/>
              <x14:axisColor indexed="64"/>
            </x14:dataBar>
          </x14:cfRule>
          <xm:sqref>R12</xm:sqref>
        </x14:conditionalFormatting>
        <x14:conditionalFormatting xmlns:xm="http://schemas.microsoft.com/office/excel/2006/main">
          <x14:cfRule type="dataBar" priority="8" id="{000C00FE-006B-4218-8AB4-00B0007D00D6}">
            <x14:dataBar maxLength="100" minLength="0" axisPosition="automatic" direction="context" gradient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N12</xm:sqref>
        </x14:conditionalFormatting>
        <x14:conditionalFormatting xmlns:xm="http://schemas.microsoft.com/office/excel/2006/main">
          <x14:cfRule type="dataBar" priority="9" id="{00060057-0080-461D-BD29-00FC00B4006C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F12</xm:sqref>
        </x14:conditionalFormatting>
        <x14:conditionalFormatting xmlns:xm="http://schemas.microsoft.com/office/excel/2006/main">
          <x14:cfRule type="dataBar" priority="3" id="{001400EB-0001-47F0-9174-0022002F00FE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R4:R17</xm:sqref>
        </x14:conditionalFormatting>
        <x14:conditionalFormatting xmlns:xm="http://schemas.microsoft.com/office/excel/2006/main">
          <x14:cfRule type="dataBar" priority="2" id="{00E5006B-000B-440F-94E5-004D00DE00FC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N4:N17</xm:sqref>
        </x14:conditionalFormatting>
        <x14:conditionalFormatting xmlns:xm="http://schemas.microsoft.com/office/excel/2006/main">
          <x14:cfRule type="dataBar" priority="1" id="{00F300AC-007D-4787-9C21-007F001B0088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F4:F17</xm:sqref>
        </x14:conditionalFormatting>
        <x14:conditionalFormatting xmlns:xm="http://schemas.microsoft.com/office/excel/2006/main">
          <x14:cfRule type="dataBar" priority="75" id="{00270056-00E2-4129-8428-008B00A90032}">
            <x14:dataBar maxLength="100" minLength="0" axisPosition="automatic" direction="context" gradient="0">
              <x14:cfvo type="autoMin"/>
              <x14:cfvo type="autoMax"/>
              <x14:fillColor rgb="FF638EC6"/>
              <x14:negativeFillColor indexed="2"/>
              <x14:axisColor indexed="64"/>
            </x14:dataBar>
          </x14:cfRule>
          <xm:sqref>F4:F11 F13:F18</xm:sqref>
        </x14:conditionalFormatting>
        <x14:conditionalFormatting xmlns:xm="http://schemas.microsoft.com/office/excel/2006/main">
          <x14:cfRule type="dataBar" priority="77" id="{00750016-0055-4A79-ACC9-006A00780012}">
            <x14:dataBar maxLength="100" minLength="0" axisPosition="automatic" direction="context" gradient="0">
              <x14:cfvo type="autoMin"/>
              <x14:cfvo type="autoMax"/>
              <x14:fillColor rgb="FFFF555A"/>
              <x14:negativeFillColor indexed="2"/>
              <x14:axisColor indexed="64"/>
            </x14:dataBar>
          </x14:cfRule>
          <xm:sqref>F15:F18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r7-office/2026.2.1.2268</Application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Константин Хамадов</cp:lastModifiedBy>
  <cp:revision>1</cp:revision>
  <dcterms:created xsi:type="dcterms:W3CDTF">2006-09-16T00:00:00Z</dcterms:created>
  <dcterms:modified xsi:type="dcterms:W3CDTF">2026-10-27T10:04:14Z</dcterms:modified>
</cp:coreProperties>
</file>