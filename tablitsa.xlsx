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persons/person.xml" ContentType="application/vnd.ms-excel.person+xml"/>
  <Override PartName="/xl/worksheets/sheet2.xml" ContentType="application/vnd.openxmlformats-officedocument.spreadsheetml.worksheet+xml"/>
  <Override PartName="/xl/threadedComments/threadedComment1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2"/>
    <sheet name="Лист4" sheetId="2" state="visible" r:id="rId3"/>
    <sheet name="Лист2" sheetId="3" state="visible" r:id="rId4"/>
    <sheet name="Лист3" sheetId="4" state="visible" r:id="rId5"/>
  </sheets>
  <calcPr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tc={00E700B8-0084-45E6-9A91-00A000CD00FA}</author>
    <author>tc={00CF0080-00CC-480A-BACB-009500460033}</author>
  </authors>
  <commentList>
    <comment ref="R2" authorId="0" xr:uid="{00E700B8-0084-45E6-9A91-00A000CD00F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Цена всех юнитов в игре уменьшена на 20%
</t>
        </r>
      </text>
    </comment>
    <comment ref="T2" authorId="1" xr:uid="{00CF0080-00CC-480A-BACB-00950046003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Уровень в игре влияет на приоритет получения баффов и дебаффов на урон
</t>
        </r>
      </text>
    </comment>
  </commentList>
</comments>
</file>

<file path=xl/sharedStrings.xml><?xml version="1.0" encoding="utf-8"?>
<sst xmlns="http://schemas.openxmlformats.org/spreadsheetml/2006/main" count="488" uniqueCount="488">
  <si>
    <t>АЛЬЯНС</t>
  </si>
  <si>
    <t>Урон</t>
  </si>
  <si>
    <t>Кости</t>
  </si>
  <si>
    <t>Грани</t>
  </si>
  <si>
    <t>Скорость</t>
  </si>
  <si>
    <t xml:space="preserve">Повреждение в секунду</t>
  </si>
  <si>
    <t>Дистанция</t>
  </si>
  <si>
    <t xml:space="preserve">Ц ПВС</t>
  </si>
  <si>
    <t xml:space="preserve">Н/Ц Д</t>
  </si>
  <si>
    <t>НР</t>
  </si>
  <si>
    <t>Защита</t>
  </si>
  <si>
    <t>Константа</t>
  </si>
  <si>
    <t xml:space="preserve">Эффективные жизни</t>
  </si>
  <si>
    <t xml:space="preserve">Ц ЭЖ</t>
  </si>
  <si>
    <t>Н/Ц</t>
  </si>
  <si>
    <t>Цена</t>
  </si>
  <si>
    <t>Уровень</t>
  </si>
  <si>
    <t>Дум</t>
  </si>
  <si>
    <t>Крестьянин</t>
  </si>
  <si>
    <t>Ополченец</t>
  </si>
  <si>
    <t>Старейшина</t>
  </si>
  <si>
    <t>Лучник</t>
  </si>
  <si>
    <t>Арбалетчик</t>
  </si>
  <si>
    <t>Длиннолучник</t>
  </si>
  <si>
    <t>Пехотинец</t>
  </si>
  <si>
    <t>Капитан</t>
  </si>
  <si>
    <t>Ветеран</t>
  </si>
  <si>
    <t xml:space="preserve">Жрец войны</t>
  </si>
  <si>
    <t>Целитель</t>
  </si>
  <si>
    <t>Инквизитор</t>
  </si>
  <si>
    <t>Рыцарь</t>
  </si>
  <si>
    <t>Знамяносец</t>
  </si>
  <si>
    <t>Архимаг</t>
  </si>
  <si>
    <t>Ангел</t>
  </si>
  <si>
    <t>Архангел</t>
  </si>
  <si>
    <t>Серафим</t>
  </si>
  <si>
    <t>ОРДА</t>
  </si>
  <si>
    <t>Бугай</t>
  </si>
  <si>
    <t>ы</t>
  </si>
  <si>
    <t>Крушитель</t>
  </si>
  <si>
    <t xml:space="preserve">Мастер клинка</t>
  </si>
  <si>
    <t>Камнеметатель</t>
  </si>
  <si>
    <t>Знахарь</t>
  </si>
  <si>
    <t>Копьеметатель</t>
  </si>
  <si>
    <t xml:space="preserve">Волчий всадник</t>
  </si>
  <si>
    <t xml:space="preserve">Говорящий с дух.</t>
  </si>
  <si>
    <t xml:space="preserve">Горный всадник</t>
  </si>
  <si>
    <t xml:space="preserve">Шаман белый</t>
  </si>
  <si>
    <t xml:space="preserve">Шаман чёрный</t>
  </si>
  <si>
    <t>Колдун</t>
  </si>
  <si>
    <t>Огр</t>
  </si>
  <si>
    <t xml:space="preserve">Командир огров</t>
  </si>
  <si>
    <t>Мок'Натал</t>
  </si>
  <si>
    <t>Спиритволкер</t>
  </si>
  <si>
    <t>Таурен</t>
  </si>
  <si>
    <t>Таурен-вождь</t>
  </si>
  <si>
    <t>НЕЖИТЬ</t>
  </si>
  <si>
    <t>Зомби</t>
  </si>
  <si>
    <t xml:space="preserve">Больной зомби</t>
  </si>
  <si>
    <t>Вурдулак</t>
  </si>
  <si>
    <t>Скелет-лучник</t>
  </si>
  <si>
    <t>Могильщик</t>
  </si>
  <si>
    <t xml:space="preserve">Порч. скелет-лучн.</t>
  </si>
  <si>
    <t xml:space="preserve">Голем из плоти</t>
  </si>
  <si>
    <t>Поганище</t>
  </si>
  <si>
    <t>Взрыв-голем</t>
  </si>
  <si>
    <t>Некромант</t>
  </si>
  <si>
    <t>Некромант-маг</t>
  </si>
  <si>
    <t>Некр.-призыват.</t>
  </si>
  <si>
    <t>Вампир</t>
  </si>
  <si>
    <t xml:space="preserve">Высший вампир</t>
  </si>
  <si>
    <t>Вампир-маг</t>
  </si>
  <si>
    <t>Лич</t>
  </si>
  <si>
    <t xml:space="preserve">Ледяной рыцарь</t>
  </si>
  <si>
    <t xml:space="preserve">Рыцарь Смерти</t>
  </si>
  <si>
    <t>ЭЛЬФЫ</t>
  </si>
  <si>
    <t>Лучница</t>
  </si>
  <si>
    <t>Снайпер</t>
  </si>
  <si>
    <t>Охотница</t>
  </si>
  <si>
    <t>Воин</t>
  </si>
  <si>
    <t>Убийца</t>
  </si>
  <si>
    <t>Страж</t>
  </si>
  <si>
    <t>Энт</t>
  </si>
  <si>
    <t xml:space="preserve">Горное древо</t>
  </si>
  <si>
    <t xml:space="preserve">Древо ветров</t>
  </si>
  <si>
    <t>Друид</t>
  </si>
  <si>
    <t>Козлик</t>
  </si>
  <si>
    <t>Дриада</t>
  </si>
  <si>
    <t xml:space="preserve">Эльфийский маг</t>
  </si>
  <si>
    <t xml:space="preserve">Дикий всадник</t>
  </si>
  <si>
    <t xml:space="preserve">Знать эльфов</t>
  </si>
  <si>
    <t>Древень</t>
  </si>
  <si>
    <t xml:space="preserve">Синий Древень</t>
  </si>
  <si>
    <t xml:space="preserve">Жёлтый Древень</t>
  </si>
  <si>
    <t>НАГА</t>
  </si>
  <si>
    <t>Маргол-воин</t>
  </si>
  <si>
    <t>Маргол-знахарь</t>
  </si>
  <si>
    <t>Маргол-убийца</t>
  </si>
  <si>
    <t xml:space="preserve">Морской дракон</t>
  </si>
  <si>
    <t>Гидра</t>
  </si>
  <si>
    <t>Коатль</t>
  </si>
  <si>
    <t xml:space="preserve">Мудрец глубин</t>
  </si>
  <si>
    <t xml:space="preserve">Песочный краб</t>
  </si>
  <si>
    <t xml:space="preserve">Повел. приливов</t>
  </si>
  <si>
    <t>Нага-сирена</t>
  </si>
  <si>
    <t>Нага-заклинат.</t>
  </si>
  <si>
    <t xml:space="preserve">Морская ведьма</t>
  </si>
  <si>
    <t xml:space="preserve">Синяя черепаха</t>
  </si>
  <si>
    <t xml:space="preserve">Зелёная черепаха</t>
  </si>
  <si>
    <t xml:space="preserve">Красная черепаха</t>
  </si>
  <si>
    <t>Нага-воин</t>
  </si>
  <si>
    <t>Нага-гвардеец</t>
  </si>
  <si>
    <t xml:space="preserve">Морской великан</t>
  </si>
  <si>
    <t>ДЕМОНЫ</t>
  </si>
  <si>
    <t xml:space="preserve">Адский зверь</t>
  </si>
  <si>
    <t xml:space="preserve">Дикая гончая</t>
  </si>
  <si>
    <t>Опустошитель</t>
  </si>
  <si>
    <t>Суккуб</t>
  </si>
  <si>
    <t>Демонесса</t>
  </si>
  <si>
    <t>Ифрит</t>
  </si>
  <si>
    <t xml:space="preserve">Малый пустынник</t>
  </si>
  <si>
    <t xml:space="preserve">Высший пустынник</t>
  </si>
  <si>
    <t xml:space="preserve">Повелитель огня</t>
  </si>
  <si>
    <t>Демонопоклонник</t>
  </si>
  <si>
    <t>Чернокнижник</t>
  </si>
  <si>
    <t xml:space="preserve">Маг крови</t>
  </si>
  <si>
    <t>Кровожад</t>
  </si>
  <si>
    <t xml:space="preserve">Привратник Ада</t>
  </si>
  <si>
    <t>Разрушитель</t>
  </si>
  <si>
    <t xml:space="preserve">Пыл. колесница</t>
  </si>
  <si>
    <t xml:space="preserve">Маш. хаоса</t>
  </si>
  <si>
    <t>Инфернал</t>
  </si>
  <si>
    <t>ПРОЧИЕ</t>
  </si>
  <si>
    <t>Паладин</t>
  </si>
  <si>
    <t xml:space="preserve">Паладин 2</t>
  </si>
  <si>
    <t xml:space="preserve">Боевой кодой</t>
  </si>
  <si>
    <t>Кодой-город</t>
  </si>
  <si>
    <t xml:space="preserve">Подрывн. бригада</t>
  </si>
  <si>
    <t>Катапульта</t>
  </si>
  <si>
    <t xml:space="preserve">Горный великан</t>
  </si>
  <si>
    <t xml:space="preserve">Волш. дракон</t>
  </si>
  <si>
    <t xml:space="preserve">Герой наг 1</t>
  </si>
  <si>
    <t xml:space="preserve">Герой наг 2</t>
  </si>
  <si>
    <t xml:space="preserve">Герой наг 3</t>
  </si>
  <si>
    <t xml:space="preserve">Герой наг 4</t>
  </si>
  <si>
    <t xml:space="preserve">Герой наг 5</t>
  </si>
  <si>
    <t xml:space="preserve">Герой наг 6</t>
  </si>
  <si>
    <t xml:space="preserve">Герой наг 7</t>
  </si>
  <si>
    <t xml:space="preserve">Герой наг 8</t>
  </si>
  <si>
    <t xml:space="preserve">Герой наг 9</t>
  </si>
  <si>
    <t xml:space="preserve">Герой наг 10</t>
  </si>
  <si>
    <t xml:space="preserve">Герой наг 11</t>
  </si>
  <si>
    <t xml:space="preserve">Ц. игрока</t>
  </si>
  <si>
    <t>Волна</t>
  </si>
  <si>
    <t>Attack</t>
  </si>
  <si>
    <t>e004</t>
  </si>
  <si>
    <t>e006</t>
  </si>
  <si>
    <t>e009</t>
  </si>
  <si>
    <t>e015</t>
  </si>
  <si>
    <t>h005</t>
  </si>
  <si>
    <t>h007</t>
  </si>
  <si>
    <t>n00C</t>
  </si>
  <si>
    <t xml:space="preserve">n00F и  I</t>
  </si>
  <si>
    <t>n00M</t>
  </si>
  <si>
    <t xml:space="preserve">n00V и W</t>
  </si>
  <si>
    <t>n00X</t>
  </si>
  <si>
    <t>n015</t>
  </si>
  <si>
    <t>n019</t>
  </si>
  <si>
    <t>n01D</t>
  </si>
  <si>
    <t>n01E</t>
  </si>
  <si>
    <t>n01G</t>
  </si>
  <si>
    <t>n01N</t>
  </si>
  <si>
    <t>n01P</t>
  </si>
  <si>
    <t>o003</t>
  </si>
  <si>
    <t>o006</t>
  </si>
  <si>
    <t>o008</t>
  </si>
  <si>
    <t>o00A</t>
  </si>
  <si>
    <t>o00C</t>
  </si>
  <si>
    <t>o00D</t>
  </si>
  <si>
    <t>o00F</t>
  </si>
  <si>
    <t>o00G</t>
  </si>
  <si>
    <t>o00H</t>
  </si>
  <si>
    <t>u003</t>
  </si>
  <si>
    <t>u004</t>
  </si>
  <si>
    <t>u009</t>
  </si>
  <si>
    <t>u00A</t>
  </si>
  <si>
    <t>u01J</t>
  </si>
  <si>
    <t>Dmg</t>
  </si>
  <si>
    <t>e000</t>
  </si>
  <si>
    <t>e001</t>
  </si>
  <si>
    <t>e005</t>
  </si>
  <si>
    <t>E00e</t>
  </si>
  <si>
    <t>h002,h003</t>
  </si>
  <si>
    <t>h00A</t>
  </si>
  <si>
    <t>h01Q</t>
  </si>
  <si>
    <t>n001</t>
  </si>
  <si>
    <t>n003</t>
  </si>
  <si>
    <t>n004</t>
  </si>
  <si>
    <t>n00A</t>
  </si>
  <si>
    <t>n00Q</t>
  </si>
  <si>
    <t>n00R</t>
  </si>
  <si>
    <t>n00T</t>
  </si>
  <si>
    <t>n00W</t>
  </si>
  <si>
    <t>n00Z</t>
  </si>
  <si>
    <t>n011</t>
  </si>
  <si>
    <t>n012</t>
  </si>
  <si>
    <t>n016</t>
  </si>
  <si>
    <t>n018</t>
  </si>
  <si>
    <t>n01C</t>
  </si>
  <si>
    <t>n01J</t>
  </si>
  <si>
    <t>n01L</t>
  </si>
  <si>
    <t>n01O</t>
  </si>
  <si>
    <t>o004</t>
  </si>
  <si>
    <t>o00D+F</t>
  </si>
  <si>
    <t>u005</t>
  </si>
  <si>
    <t>u007</t>
  </si>
  <si>
    <t>u00B</t>
  </si>
  <si>
    <t>u01G</t>
  </si>
  <si>
    <t>Cast</t>
  </si>
  <si>
    <t>A00C</t>
  </si>
  <si>
    <t>A00S</t>
  </si>
  <si>
    <t>A00Z</t>
  </si>
  <si>
    <t>A012</t>
  </si>
  <si>
    <t>A014</t>
  </si>
  <si>
    <t>A017</t>
  </si>
  <si>
    <t>A018</t>
  </si>
  <si>
    <t>A019</t>
  </si>
  <si>
    <t>A01L</t>
  </si>
  <si>
    <t>A01M</t>
  </si>
  <si>
    <t>A01V</t>
  </si>
  <si>
    <t>A01W</t>
  </si>
  <si>
    <t>A025</t>
  </si>
  <si>
    <t>A02E</t>
  </si>
  <si>
    <t>A043</t>
  </si>
  <si>
    <t>A05A</t>
  </si>
  <si>
    <t>A05C</t>
  </si>
  <si>
    <t>A05D</t>
  </si>
  <si>
    <t>A05E</t>
  </si>
  <si>
    <t>A05K</t>
  </si>
  <si>
    <t>A05L</t>
  </si>
  <si>
    <t>A05N</t>
  </si>
  <si>
    <t>A05O</t>
  </si>
  <si>
    <t>A05Q</t>
  </si>
  <si>
    <t>A05X</t>
  </si>
  <si>
    <t>A05Y</t>
  </si>
  <si>
    <t>A066</t>
  </si>
  <si>
    <t>A069</t>
  </si>
  <si>
    <t>A074</t>
  </si>
  <si>
    <t>A077</t>
  </si>
  <si>
    <t>A078</t>
  </si>
  <si>
    <t>A07T</t>
  </si>
  <si>
    <t>A08P</t>
  </si>
  <si>
    <t>A08Q</t>
  </si>
  <si>
    <t>A08X</t>
  </si>
  <si>
    <t>A08Y</t>
  </si>
  <si>
    <t>A090</t>
  </si>
  <si>
    <t>A09E</t>
  </si>
  <si>
    <t>A09F</t>
  </si>
  <si>
    <t>A09H</t>
  </si>
  <si>
    <t>A09K</t>
  </si>
  <si>
    <t>A09L</t>
  </si>
  <si>
    <t>A09Z</t>
  </si>
  <si>
    <t>A0A5</t>
  </si>
  <si>
    <t>A0AF</t>
  </si>
  <si>
    <t>A0AY</t>
  </si>
  <si>
    <t>A0B0</t>
  </si>
  <si>
    <t>A0B4</t>
  </si>
  <si>
    <t>A0B6</t>
  </si>
  <si>
    <t>A0B8</t>
  </si>
  <si>
    <t>A0B9</t>
  </si>
  <si>
    <t>A0BA</t>
  </si>
  <si>
    <t>A0BB</t>
  </si>
  <si>
    <t>A0BV</t>
  </si>
  <si>
    <t>A0BW</t>
  </si>
  <si>
    <t>A0BX</t>
  </si>
  <si>
    <t>A0BY</t>
  </si>
  <si>
    <t>A0BZ</t>
  </si>
  <si>
    <t>A0CT</t>
  </si>
  <si>
    <t>A0CZ</t>
  </si>
  <si>
    <t>A0DO</t>
  </si>
  <si>
    <t>A0DP</t>
  </si>
  <si>
    <t>A0DR</t>
  </si>
  <si>
    <t>A0EP:A0EY</t>
  </si>
  <si>
    <t>---</t>
  </si>
  <si>
    <t>A0F0</t>
  </si>
  <si>
    <t>A0F2</t>
  </si>
  <si>
    <t>A0FC</t>
  </si>
  <si>
    <t>A0FH</t>
  </si>
  <si>
    <t>A0FY</t>
  </si>
  <si>
    <t>A0G1</t>
  </si>
  <si>
    <t>A0G3</t>
  </si>
  <si>
    <t>A0G4</t>
  </si>
  <si>
    <t>A0G5</t>
  </si>
  <si>
    <t>A0GC</t>
  </si>
  <si>
    <t>A0GD</t>
  </si>
  <si>
    <t>A0GF</t>
  </si>
  <si>
    <t>A0GH</t>
  </si>
  <si>
    <t>A105</t>
  </si>
  <si>
    <t>A106</t>
  </si>
  <si>
    <t>A107</t>
  </si>
  <si>
    <t>A109</t>
  </si>
  <si>
    <t xml:space="preserve">Spell Id</t>
  </si>
  <si>
    <t>acidbomb</t>
  </si>
  <si>
    <t>antimagicshell</t>
  </si>
  <si>
    <t>auraunholy</t>
  </si>
  <si>
    <t>auravampiric</t>
  </si>
  <si>
    <t>metamorphosis</t>
  </si>
  <si>
    <t>innerfire</t>
  </si>
  <si>
    <t>dispel</t>
  </si>
  <si>
    <t>polymorph</t>
  </si>
  <si>
    <t>impale</t>
  </si>
  <si>
    <t>bloodlust</t>
  </si>
  <si>
    <t>howlofterror</t>
  </si>
  <si>
    <t>firebolt</t>
  </si>
  <si>
    <t>detonate</t>
  </si>
  <si>
    <t>soulburn</t>
  </si>
  <si>
    <t>summongrizzly</t>
  </si>
  <si>
    <t>banish</t>
  </si>
  <si>
    <t>avatar</t>
  </si>
  <si>
    <t>avengerform</t>
  </si>
  <si>
    <t>barkskin</t>
  </si>
  <si>
    <t>battleroar</t>
  </si>
  <si>
    <t>immolation</t>
  </si>
  <si>
    <t>spiritlink</t>
  </si>
  <si>
    <t>stoneform</t>
  </si>
  <si>
    <t>web</t>
  </si>
  <si>
    <t>robogoblin</t>
  </si>
  <si>
    <t>purge</t>
  </si>
  <si>
    <t>lavamonster</t>
  </si>
  <si>
    <t>bearform</t>
  </si>
  <si>
    <t>berserk</t>
  </si>
  <si>
    <t>blink</t>
  </si>
  <si>
    <t>creepheal</t>
  </si>
  <si>
    <t>healingwave</t>
  </si>
  <si>
    <t>tornado</t>
  </si>
  <si>
    <t>entanglingroots</t>
  </si>
  <si>
    <t>ravenform</t>
  </si>
  <si>
    <t>lightningshield</t>
  </si>
  <si>
    <t>cannibalize</t>
  </si>
  <si>
    <t>coldarrows</t>
  </si>
  <si>
    <t>deathcoil</t>
  </si>
  <si>
    <t>slow</t>
  </si>
  <si>
    <t>flamestrike</t>
  </si>
  <si>
    <t>frostnova</t>
  </si>
  <si>
    <t>spellsteal</t>
  </si>
  <si>
    <t>webon</t>
  </si>
  <si>
    <t>revenge</t>
  </si>
  <si>
    <t>sanctuary</t>
  </si>
  <si>
    <t>volcano</t>
  </si>
  <si>
    <t>waterelemental</t>
  </si>
  <si>
    <t>sleep</t>
  </si>
  <si>
    <t>windwalk</t>
  </si>
  <si>
    <t>raisedead</t>
  </si>
  <si>
    <t>shockwave</t>
  </si>
  <si>
    <t>inferno</t>
  </si>
  <si>
    <t>stampede</t>
  </si>
  <si>
    <t>rainoffire</t>
  </si>
  <si>
    <t>wateryminion</t>
  </si>
  <si>
    <t>hex</t>
  </si>
  <si>
    <t>holybolt</t>
  </si>
  <si>
    <t>spellbook</t>
  </si>
  <si>
    <t>Каннибализм</t>
  </si>
  <si>
    <t>%</t>
  </si>
  <si>
    <t>броня</t>
  </si>
  <si>
    <t xml:space="preserve">эфф. хп.</t>
  </si>
  <si>
    <t xml:space="preserve">маг. рез.</t>
  </si>
  <si>
    <t>хп-реген</t>
  </si>
  <si>
    <t>атакспид</t>
  </si>
  <si>
    <t>урон</t>
  </si>
  <si>
    <t>дпс</t>
  </si>
  <si>
    <t>i&lt;=2j-13</t>
  </si>
  <si>
    <t>j+1-i</t>
  </si>
  <si>
    <t xml:space="preserve"> zj-xi+y=n</t>
  </si>
  <si>
    <t>9z-x+y=5</t>
  </si>
  <si>
    <t>8z-2x+y=2</t>
  </si>
  <si>
    <t>2j-i-12</t>
  </si>
  <si>
    <t>7z-x+y=1</t>
  </si>
  <si>
    <t>y=5+x-9z</t>
  </si>
  <si>
    <t>x=3-z</t>
  </si>
  <si>
    <t>y=8-10z</t>
  </si>
  <si>
    <t>7z-3+z+8-10z=1</t>
  </si>
  <si>
    <t>инферно</t>
  </si>
  <si>
    <t>анрут</t>
  </si>
  <si>
    <t>блинк</t>
  </si>
  <si>
    <t>болт</t>
  </si>
  <si>
    <t>баниш</t>
  </si>
  <si>
    <t>спеллстил</t>
  </si>
  <si>
    <t>z=2</t>
  </si>
  <si>
    <t>x=1</t>
  </si>
  <si>
    <t>y=-12</t>
  </si>
  <si>
    <t>A0GJ</t>
  </si>
  <si>
    <t>R10P</t>
  </si>
  <si>
    <t>R000</t>
  </si>
  <si>
    <t>rainofchaos</t>
  </si>
  <si>
    <t>phoenixfire</t>
  </si>
  <si>
    <t>phoenixmorph</t>
  </si>
  <si>
    <t>poisonarrows</t>
  </si>
  <si>
    <t>A0GK</t>
  </si>
  <si>
    <t>R10Y</t>
  </si>
  <si>
    <t>R004</t>
  </si>
  <si>
    <t>possession</t>
  </si>
  <si>
    <t>preservation</t>
  </si>
  <si>
    <t>A0GL</t>
  </si>
  <si>
    <t>R101</t>
  </si>
  <si>
    <t>R003</t>
  </si>
  <si>
    <t>cripple</t>
  </si>
  <si>
    <t>curse</t>
  </si>
  <si>
    <t>cyclone</t>
  </si>
  <si>
    <t>A0GM</t>
  </si>
  <si>
    <t>R110</t>
  </si>
  <si>
    <t>R005</t>
  </si>
  <si>
    <t>darkconversion</t>
  </si>
  <si>
    <t>darkportal</t>
  </si>
  <si>
    <t>darkritual</t>
  </si>
  <si>
    <t>A0GN</t>
  </si>
  <si>
    <t>R10L</t>
  </si>
  <si>
    <t>R006</t>
  </si>
  <si>
    <t>rejuvination</t>
  </si>
  <si>
    <t>darksummoning</t>
  </si>
  <si>
    <t>deathanddecay</t>
  </si>
  <si>
    <t>A0DQ</t>
  </si>
  <si>
    <t>A0GO</t>
  </si>
  <si>
    <t>R102</t>
  </si>
  <si>
    <t>R007</t>
  </si>
  <si>
    <t>restoration</t>
  </si>
  <si>
    <t>deathpact</t>
  </si>
  <si>
    <t>decouple</t>
  </si>
  <si>
    <t>defend</t>
  </si>
  <si>
    <t>G7</t>
  </si>
  <si>
    <t>A0GP</t>
  </si>
  <si>
    <t>G8</t>
  </si>
  <si>
    <t>A0GQ</t>
  </si>
  <si>
    <t>AI</t>
  </si>
  <si>
    <t>A0GR</t>
  </si>
  <si>
    <t>A0GS</t>
  </si>
  <si>
    <t>R10H</t>
  </si>
  <si>
    <t>R00A</t>
  </si>
  <si>
    <t>A0GT</t>
  </si>
  <si>
    <t>R10X</t>
  </si>
  <si>
    <t>R008</t>
  </si>
  <si>
    <t>A0GU</t>
  </si>
  <si>
    <t>R103</t>
  </si>
  <si>
    <t>R009</t>
  </si>
  <si>
    <t>A0GV</t>
  </si>
  <si>
    <t>A0GW</t>
  </si>
  <si>
    <t>R10S</t>
  </si>
  <si>
    <t>R00B</t>
  </si>
  <si>
    <t>A0GX</t>
  </si>
  <si>
    <t>R001</t>
  </si>
  <si>
    <t>R00C</t>
  </si>
  <si>
    <t>A0GY</t>
  </si>
  <si>
    <t>R105</t>
  </si>
  <si>
    <t>R00D</t>
  </si>
  <si>
    <t>A0HP</t>
  </si>
  <si>
    <t>A0HQ</t>
  </si>
  <si>
    <t>Игроки</t>
  </si>
  <si>
    <t>Коэффициент</t>
  </si>
  <si>
    <t>Время</t>
  </si>
  <si>
    <t>Голда</t>
  </si>
  <si>
    <t>Юниты</t>
  </si>
  <si>
    <t>Сумм*K</t>
  </si>
  <si>
    <t>Доход</t>
  </si>
  <si>
    <t>dmg</t>
  </si>
  <si>
    <t>hp</t>
  </si>
  <si>
    <t xml:space="preserve">С Цена</t>
  </si>
  <si>
    <t>ПВС</t>
  </si>
  <si>
    <t xml:space="preserve">СУММ Ц</t>
  </si>
  <si>
    <t>Крипы</t>
  </si>
  <si>
    <t>Крыса</t>
  </si>
  <si>
    <t xml:space="preserve">Кр. король</t>
  </si>
  <si>
    <t xml:space="preserve">Гиг. паук</t>
  </si>
  <si>
    <t>Мурлок</t>
  </si>
  <si>
    <t>Нага</t>
  </si>
  <si>
    <t>Гнолл</t>
  </si>
  <si>
    <t>Огр-солдат</t>
  </si>
  <si>
    <t>Огр-маг</t>
  </si>
  <si>
    <t>Ворон</t>
  </si>
  <si>
    <t>Мясник</t>
  </si>
  <si>
    <t>Древо</t>
  </si>
  <si>
    <t>Волк</t>
  </si>
  <si>
    <t xml:space="preserve">Вож. Волков</t>
  </si>
  <si>
    <t>Демон</t>
  </si>
  <si>
    <t xml:space="preserve">Крипов 1</t>
  </si>
  <si>
    <t xml:space="preserve">Цена 1</t>
  </si>
  <si>
    <t xml:space="preserve">Крипов 2</t>
  </si>
  <si>
    <t xml:space="preserve">Цена 2</t>
  </si>
  <si>
    <t xml:space="preserve">Ц. волны</t>
  </si>
  <si>
    <t>Ц2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</si>
</sst>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0" formatCode="_-* #,##0.00\ _₽_-;\-* #,##0.00\ _₽_-;_-* &quot;-&quot;??\ _₽_-;_-@_-"/>
    <numFmt numFmtId="161" formatCode="_-* #,##0\ _₽_-;\-* #,##0\ _₽_-;_-* &quot;-&quot;??\ _₽_-;_-@_-"/>
    <numFmt numFmtId="162" formatCode="#,##0_ ;\-#,##0\ "/>
  </numFmts>
  <fonts count="8">
    <font>
      <sz val="11.000000"/>
      <color theme="1"/>
      <name val="Calibri"/>
      <scheme val="minor"/>
    </font>
    <font>
      <sz val="9.000000"/>
      <color theme="1"/>
      <name val="Calibri"/>
      <scheme val="minor"/>
    </font>
    <font>
      <b/>
      <sz val="12.000000"/>
      <color theme="0"/>
      <name val="Calibri"/>
      <scheme val="minor"/>
    </font>
    <font>
      <b/>
      <sz val="9.000000"/>
      <color theme="1"/>
      <name val="Calibri"/>
      <scheme val="minor"/>
    </font>
    <font>
      <sz val="11.000000"/>
      <color theme="0" tint="-0.049989318521683403"/>
      <name val="Calibri"/>
      <scheme val="minor"/>
    </font>
    <font>
      <sz val="10.000000"/>
      <color indexed="64"/>
      <name val="Arial"/>
    </font>
    <font>
      <sz val="11.000000"/>
      <color theme="0" tint="-0.249977111117893"/>
      <name val="Calibri"/>
      <scheme val="minor"/>
    </font>
    <font>
      <b/>
      <sz val="11.000000"/>
      <color theme="1"/>
      <name val="Calibri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00B050"/>
      </patternFill>
    </fill>
    <fill>
      <patternFill patternType="solid">
        <fgColor theme="0" tint="-0.499984740745262"/>
      </patternFill>
    </fill>
    <fill>
      <patternFill patternType="solid">
        <fgColor theme="4"/>
      </patternFill>
    </fill>
    <fill>
      <patternFill patternType="solid">
        <fgColor theme="1"/>
      </patternFill>
    </fill>
    <fill>
      <patternFill patternType="solid">
        <fgColor rgb="FFFFC000"/>
      </patternFill>
    </fill>
    <fill>
      <patternFill patternType="solid">
        <fgColor theme="6" tint="0.79998168889431442"/>
      </patternFill>
    </fill>
    <fill>
      <patternFill patternType="solid">
        <fgColor theme="0" tint="-0.049989318521683403"/>
      </patternFill>
    </fill>
    <fill>
      <patternFill patternType="solid">
        <fgColor rgb="FFFF1515"/>
      </patternFill>
    </fill>
    <fill>
      <patternFill patternType="solid">
        <fgColor theme="9" tint="0.79998168889431442"/>
      </patternFill>
    </fill>
    <fill>
      <patternFill patternType="solid">
        <fgColor theme="0" tint="-0.14999847407452621"/>
      </patternFill>
    </fill>
    <fill>
      <patternFill patternType="solid">
        <fgColor rgb="FFC5FFC5"/>
      </patternFill>
    </fill>
    <fill>
      <patternFill patternType="solid">
        <fgColor theme="2"/>
      </patternFill>
    </fill>
    <fill>
      <patternFill patternType="solid">
        <fgColor theme="6" tint="-0.249977111117893"/>
      </patternFill>
    </fill>
    <fill>
      <patternFill patternType="solid">
        <fgColor theme="3" tint="0.79998168889431442"/>
      </patternFill>
    </fill>
    <fill>
      <patternFill patternType="solid">
        <fgColor indexed="5"/>
      </patternFill>
    </fill>
    <fill>
      <patternFill patternType="solid">
        <fgColor theme="0" tint="-0.34998626667073579"/>
      </patternFill>
    </fill>
    <fill>
      <patternFill patternType="solid">
        <fgColor theme="5" tint="0.59999389629810485"/>
      </patternFill>
    </fill>
    <fill>
      <patternFill patternType="solid">
        <fgColor theme="6" tint="0.59999389629810485"/>
      </patternFill>
    </fill>
    <fill>
      <patternFill patternType="solid">
        <fgColor theme="8" tint="0.59999389629810485"/>
      </patternFill>
    </fill>
  </fills>
  <borders count="23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</borders>
  <cellStyleXfs count="3">
    <xf fontId="0" fillId="0" borderId="0" numFmtId="0" applyNumberFormat="1" applyFont="1" applyFill="1" applyBorder="1"/>
    <xf fontId="0" fillId="0" borderId="0" numFmtId="9" applyNumberFormat="1" applyFont="0" applyFill="0" applyBorder="0" applyProtection="0"/>
    <xf fontId="0" fillId="0" borderId="0" numFmtId="160" applyNumberFormat="1" applyFont="0" applyFill="0" applyBorder="0" applyProtection="0"/>
  </cellStyleXfs>
  <cellXfs count="110">
    <xf fontId="0" fillId="0" borderId="0" numFmtId="0" xfId="0"/>
    <xf fontId="0" fillId="0" borderId="0" numFmtId="0" xfId="2"/>
    <xf fontId="1" fillId="0" borderId="0" numFmtId="0" xfId="0" applyFont="1"/>
    <xf fontId="1" fillId="2" borderId="1" numFmtId="0" xfId="0" applyFont="1" applyFill="1" applyBorder="1" applyAlignment="1">
      <alignment horizontal="center"/>
    </xf>
    <xf fontId="1" fillId="2" borderId="2" numFmtId="0" xfId="0" applyFont="1" applyFill="1" applyBorder="1" applyAlignment="1">
      <alignment horizontal="center"/>
    </xf>
    <xf fontId="1" fillId="2" borderId="3" numFmtId="0" xfId="0" applyFont="1" applyFill="1" applyBorder="1" applyAlignment="1">
      <alignment horizontal="center"/>
    </xf>
    <xf fontId="1" fillId="0" borderId="0" numFmtId="0" xfId="0" applyFont="1" applyAlignment="1">
      <alignment horizontal="center"/>
    </xf>
    <xf fontId="1" fillId="3" borderId="1" numFmtId="0" xfId="0" applyFont="1" applyFill="1" applyBorder="1" applyAlignment="1">
      <alignment horizontal="center"/>
    </xf>
    <xf fontId="1" fillId="3" borderId="2" numFmtId="0" xfId="0" applyFont="1" applyFill="1" applyBorder="1" applyAlignment="1">
      <alignment horizontal="center"/>
    </xf>
    <xf fontId="1" fillId="3" borderId="3" numFmtId="0" xfId="0" applyFont="1" applyFill="1" applyBorder="1" applyAlignment="1">
      <alignment horizontal="center"/>
    </xf>
    <xf fontId="0" fillId="4" borderId="1" numFmtId="0" xfId="0" applyFill="1" applyBorder="1" applyAlignment="1">
      <alignment horizontal="center"/>
    </xf>
    <xf fontId="0" fillId="4" borderId="3" numFmtId="0" xfId="0" applyFill="1" applyBorder="1" applyAlignment="1">
      <alignment horizontal="center"/>
    </xf>
    <xf fontId="1" fillId="5" borderId="1" numFmtId="0" xfId="0" applyFont="1" applyFill="1" applyBorder="1" applyAlignment="1">
      <alignment horizontal="center"/>
    </xf>
    <xf fontId="1" fillId="5" borderId="4" numFmtId="0" xfId="0" applyFont="1" applyFill="1" applyBorder="1" applyAlignment="1">
      <alignment horizontal="center"/>
    </xf>
    <xf fontId="2" fillId="6" borderId="0" numFmtId="0" xfId="0" applyFont="1" applyFill="1" applyAlignment="1">
      <alignment horizontal="center"/>
    </xf>
    <xf fontId="3" fillId="0" borderId="3" numFmtId="0" xfId="0" applyFont="1" applyBorder="1" applyAlignment="1">
      <alignment horizontal="center"/>
    </xf>
    <xf fontId="3" fillId="0" borderId="5" numFmtId="0" xfId="0" applyFont="1" applyBorder="1" applyAlignment="1">
      <alignment horizontal="center"/>
    </xf>
    <xf fontId="3" fillId="7" borderId="5" numFmtId="0" xfId="0" applyFont="1" applyFill="1" applyBorder="1" applyAlignment="1">
      <alignment horizontal="center"/>
    </xf>
    <xf fontId="3" fillId="0" borderId="0" numFmtId="0" xfId="2" applyFont="1" applyAlignment="1">
      <alignment horizontal="center"/>
    </xf>
    <xf fontId="3" fillId="7" borderId="5" numFmtId="0" xfId="2" applyFont="1" applyFill="1" applyBorder="1" applyAlignment="1">
      <alignment horizontal="center"/>
    </xf>
    <xf fontId="3" fillId="8" borderId="5" numFmtId="0" xfId="2" applyFont="1" applyFill="1" applyBorder="1" applyAlignment="1">
      <alignment horizontal="center" vertical="center"/>
    </xf>
    <xf fontId="1" fillId="0" borderId="0" numFmtId="0" xfId="2" applyFont="1"/>
    <xf fontId="1" fillId="0" borderId="2" numFmtId="0" xfId="0" applyFont="1" applyBorder="1"/>
    <xf fontId="1" fillId="9" borderId="5" numFmtId="0" xfId="0" applyFont="1" applyFill="1" applyBorder="1" applyAlignment="1">
      <alignment horizontal="center" vertical="center"/>
    </xf>
    <xf fontId="1" fillId="0" borderId="6" numFmtId="0" xfId="0" applyFont="1" applyBorder="1" applyAlignment="1">
      <alignment horizontal="center" vertical="center"/>
    </xf>
    <xf fontId="1" fillId="0" borderId="7" numFmtId="0" xfId="0" applyFont="1" applyBorder="1" applyAlignment="1">
      <alignment horizontal="center" vertical="center"/>
    </xf>
    <xf fontId="1" fillId="0" borderId="0" numFmtId="0" xfId="0" applyFont="1" applyAlignment="1">
      <alignment horizontal="center" vertical="center"/>
    </xf>
    <xf fontId="1" fillId="0" borderId="8" numFmtId="0" xfId="0" applyFont="1" applyBorder="1" applyAlignment="1">
      <alignment horizontal="center" vertical="center"/>
    </xf>
    <xf fontId="1" fillId="0" borderId="9" numFmtId="161" xfId="2" applyNumberFormat="1" applyFont="1" applyBorder="1" applyAlignment="1">
      <alignment horizontal="center" vertical="center"/>
    </xf>
    <xf fontId="1" fillId="0" borderId="8" numFmtId="161" xfId="2" applyNumberFormat="1" applyFont="1" applyBorder="1" applyAlignment="1">
      <alignment horizontal="center" vertical="center"/>
    </xf>
    <xf fontId="1" fillId="0" borderId="10" numFmtId="162" xfId="2" applyNumberFormat="1" applyFont="1" applyBorder="1" applyAlignment="1">
      <alignment horizontal="center" vertical="center"/>
    </xf>
    <xf fontId="1" fillId="0" borderId="11" numFmtId="0" xfId="0" applyFont="1" applyBorder="1" applyAlignment="1">
      <alignment horizontal="center" vertical="center"/>
    </xf>
    <xf fontId="1" fillId="0" borderId="0" numFmtId="0" xfId="1" applyFont="1" applyAlignment="1">
      <alignment horizontal="center" vertical="center"/>
    </xf>
    <xf fontId="1" fillId="0" borderId="12" numFmtId="0" xfId="0" applyFont="1" applyBorder="1" applyAlignment="1">
      <alignment horizontal="center" vertical="center"/>
    </xf>
    <xf fontId="1" fillId="0" borderId="10" numFmtId="161" xfId="2" applyNumberFormat="1" applyFont="1" applyBorder="1" applyAlignment="1">
      <alignment horizontal="center" vertical="center"/>
    </xf>
    <xf fontId="1" fillId="0" borderId="13" numFmtId="0" xfId="0" applyFont="1" applyBorder="1" applyAlignment="1">
      <alignment horizontal="center" vertical="center"/>
    </xf>
    <xf fontId="1" fillId="0" borderId="14" numFmtId="0" xfId="0" applyFont="1" applyBorder="1" applyAlignment="1">
      <alignment horizontal="center" vertical="center"/>
    </xf>
    <xf fontId="1" fillId="0" borderId="4" numFmtId="0" xfId="0" applyFont="1" applyBorder="1" applyAlignment="1">
      <alignment horizontal="center" vertical="center"/>
    </xf>
    <xf fontId="1" fillId="0" borderId="15" numFmtId="161" xfId="2" applyNumberFormat="1" applyFont="1" applyBorder="1" applyAlignment="1">
      <alignment horizontal="center" vertical="center"/>
    </xf>
    <xf fontId="1" fillId="0" borderId="15" numFmtId="162" xfId="2" applyNumberFormat="1" applyFont="1" applyBorder="1" applyAlignment="1">
      <alignment horizontal="center" vertical="center"/>
    </xf>
    <xf fontId="1" fillId="9" borderId="1" numFmtId="0" xfId="0" applyFont="1" applyFill="1" applyBorder="1" applyAlignment="1">
      <alignment horizontal="center" vertical="center"/>
    </xf>
    <xf fontId="1" fillId="0" borderId="15" numFmtId="0" xfId="0" applyFont="1" applyBorder="1" applyAlignment="1">
      <alignment horizontal="center" vertical="center"/>
    </xf>
    <xf fontId="0" fillId="0" borderId="13" numFmtId="0" xfId="2" applyBorder="1"/>
    <xf fontId="0" fillId="0" borderId="0" numFmtId="0" xfId="0" applyAlignment="1">
      <alignment horizontal="center" vertical="center"/>
    </xf>
    <xf fontId="1" fillId="3" borderId="5" numFmtId="0" xfId="0" applyFont="1" applyFill="1" applyBorder="1" applyAlignment="1">
      <alignment horizontal="center"/>
    </xf>
    <xf fontId="1" fillId="5" borderId="3" numFmtId="0" xfId="0" applyFont="1" applyFill="1" applyBorder="1" applyAlignment="1">
      <alignment horizontal="center"/>
    </xf>
    <xf fontId="0" fillId="0" borderId="0" numFmtId="0" xfId="0"/>
    <xf fontId="1" fillId="0" borderId="10" numFmtId="0" xfId="0" applyFont="1" applyBorder="1" applyAlignment="1">
      <alignment horizontal="center" vertical="center"/>
    </xf>
    <xf fontId="1" fillId="0" borderId="11" numFmtId="161" xfId="2" applyNumberFormat="1" applyFont="1" applyBorder="1" applyAlignment="1">
      <alignment horizontal="center" vertical="center"/>
    </xf>
    <xf fontId="1" fillId="0" borderId="0" numFmtId="161" xfId="2" applyNumberFormat="1" applyFont="1" applyAlignment="1">
      <alignment horizontal="center" vertical="center"/>
    </xf>
    <xf fontId="0" fillId="0" borderId="0" numFmtId="160" xfId="2" applyNumberFormat="1"/>
    <xf fontId="0" fillId="0" borderId="0" numFmtId="0" xfId="2" applyAlignment="1">
      <alignment horizontal="center" vertical="center"/>
    </xf>
    <xf fontId="0" fillId="0" borderId="0" numFmtId="161" xfId="0" applyNumberFormat="1"/>
    <xf fontId="1" fillId="0" borderId="9" numFmtId="0" xfId="0" applyFont="1" applyBorder="1" applyAlignment="1">
      <alignment horizontal="center" vertical="center"/>
    </xf>
    <xf fontId="1" fillId="0" borderId="7" numFmtId="161" xfId="2" applyNumberFormat="1" applyFont="1" applyBorder="1" applyAlignment="1">
      <alignment horizontal="center" vertical="center"/>
    </xf>
    <xf fontId="0" fillId="10" borderId="5" numFmtId="0" xfId="0" applyFill="1" applyBorder="1" applyAlignment="1">
      <alignment horizontal="center"/>
    </xf>
    <xf fontId="4" fillId="6" borderId="5" numFmtId="0" xfId="0" applyFont="1" applyFill="1" applyBorder="1" applyAlignment="1">
      <alignment horizontal="center"/>
    </xf>
    <xf fontId="0" fillId="11" borderId="5" numFmtId="0" xfId="0" applyFill="1" applyBorder="1"/>
    <xf fontId="0" fillId="12" borderId="5" numFmtId="0" xfId="0" applyFill="1" applyBorder="1" applyAlignment="1">
      <alignment horizontal="center"/>
    </xf>
    <xf fontId="0" fillId="13" borderId="5" numFmtId="0" xfId="0" applyFill="1" applyBorder="1"/>
    <xf fontId="0" fillId="14" borderId="0" numFmtId="0" xfId="0" applyFill="1"/>
    <xf fontId="0" fillId="0" borderId="0" numFmtId="0" xfId="0" quotePrefix="1"/>
    <xf fontId="0" fillId="15" borderId="0" numFmtId="0" xfId="0" applyFill="1" quotePrefix="1"/>
    <xf fontId="0" fillId="9" borderId="5" numFmtId="0" xfId="0" applyFill="1" applyBorder="1"/>
    <xf fontId="0" fillId="14" borderId="5" numFmtId="0" xfId="0" applyFill="1" applyBorder="1"/>
    <xf fontId="0" fillId="9" borderId="8" numFmtId="0" xfId="0" applyFill="1" applyBorder="1"/>
    <xf fontId="0" fillId="9" borderId="7" numFmtId="0" xfId="0" applyFill="1" applyBorder="1"/>
    <xf fontId="0" fillId="9" borderId="14" numFmtId="0" xfId="0" applyFill="1" applyBorder="1"/>
    <xf fontId="0" fillId="9" borderId="4" numFmtId="0" xfId="0" applyFill="1" applyBorder="1"/>
    <xf fontId="0" fillId="9" borderId="5" numFmtId="0" xfId="0" applyFill="1" applyBorder="1" quotePrefix="1"/>
    <xf fontId="0" fillId="0" borderId="5" numFmtId="0" xfId="0" applyBorder="1"/>
    <xf fontId="0" fillId="0" borderId="5" numFmtId="2" xfId="0" applyNumberFormat="1" applyBorder="1"/>
    <xf fontId="0" fillId="0" borderId="5" numFmtId="1" xfId="0" applyNumberFormat="1" applyBorder="1"/>
    <xf fontId="0" fillId="0" borderId="0" numFmtId="2" xfId="0" applyNumberFormat="1"/>
    <xf fontId="5" fillId="0" borderId="0" numFmtId="0" xfId="0" applyFont="1"/>
    <xf fontId="0" fillId="16" borderId="0" numFmtId="0" xfId="0" applyFill="1"/>
    <xf fontId="6" fillId="0" borderId="0" numFmtId="0" xfId="0" applyFont="1"/>
    <xf fontId="0" fillId="0" borderId="16" numFmtId="0" xfId="0" applyBorder="1" applyAlignment="1">
      <alignment horizontal="center" vertical="center"/>
    </xf>
    <xf fontId="0" fillId="0" borderId="15" numFmtId="0" xfId="0" applyBorder="1" applyAlignment="1">
      <alignment horizontal="center" vertical="center"/>
    </xf>
    <xf fontId="0" fillId="0" borderId="5" numFmtId="0" xfId="0" applyBorder="1" applyAlignment="1">
      <alignment horizontal="center" vertical="center"/>
    </xf>
    <xf fontId="0" fillId="0" borderId="9" numFmtId="0" xfId="0" applyBorder="1" applyAlignment="1">
      <alignment horizontal="center" vertical="center"/>
    </xf>
    <xf fontId="0" fillId="2" borderId="16" numFmtId="0" xfId="0" applyFill="1" applyBorder="1" applyAlignment="1">
      <alignment horizontal="center" vertical="center"/>
    </xf>
    <xf fontId="0" fillId="17" borderId="17" numFmtId="0" xfId="0" applyFill="1" applyBorder="1" applyAlignment="1">
      <alignment horizontal="center" vertical="center"/>
    </xf>
    <xf fontId="0" fillId="17" borderId="18" numFmtId="0" xfId="0" applyFill="1" applyBorder="1" applyAlignment="1">
      <alignment horizontal="center" vertical="center"/>
    </xf>
    <xf fontId="0" fillId="17" borderId="19" numFmtId="0" xfId="0" applyFill="1" applyBorder="1" applyAlignment="1">
      <alignment horizontal="center" vertical="center"/>
    </xf>
    <xf fontId="0" fillId="17" borderId="16" numFmtId="0" xfId="0" applyFill="1" applyBorder="1" applyAlignment="1">
      <alignment horizontal="center" vertical="center"/>
    </xf>
    <xf fontId="0" fillId="2" borderId="1" numFmtId="0" xfId="0" applyFill="1" applyBorder="1" applyAlignment="1">
      <alignment horizontal="center"/>
    </xf>
    <xf fontId="0" fillId="2" borderId="2" numFmtId="0" xfId="0" applyFill="1" applyBorder="1" applyAlignment="1">
      <alignment horizontal="center"/>
    </xf>
    <xf fontId="0" fillId="2" borderId="3" numFmtId="0" xfId="0" applyFill="1" applyBorder="1" applyAlignment="1">
      <alignment horizontal="center"/>
    </xf>
    <xf fontId="0" fillId="3" borderId="5" numFmtId="0" xfId="0" applyFill="1" applyBorder="1" applyAlignment="1">
      <alignment horizontal="center"/>
    </xf>
    <xf fontId="0" fillId="4" borderId="5" numFmtId="0" xfId="0" applyFill="1" applyBorder="1" applyAlignment="1">
      <alignment horizontal="center"/>
    </xf>
    <xf fontId="0" fillId="4" borderId="3" numFmtId="0" xfId="0" applyFill="1" applyBorder="1"/>
    <xf fontId="7" fillId="0" borderId="5" numFmtId="0" xfId="0" applyFont="1" applyBorder="1" applyAlignment="1">
      <alignment horizontal="center"/>
    </xf>
    <xf fontId="7" fillId="7" borderId="5" numFmtId="0" xfId="0" applyFont="1" applyFill="1" applyBorder="1" applyAlignment="1">
      <alignment horizontal="center"/>
    </xf>
    <xf fontId="7" fillId="18" borderId="5" numFmtId="0" xfId="0" applyFont="1" applyFill="1" applyBorder="1" applyAlignment="1">
      <alignment horizontal="center"/>
    </xf>
    <xf fontId="7" fillId="2" borderId="16" numFmtId="9" xfId="1" applyNumberFormat="1" applyFont="1" applyFill="1" applyBorder="1" applyAlignment="1">
      <alignment horizontal="center" vertical="center"/>
    </xf>
    <xf fontId="0" fillId="19" borderId="20" numFmtId="0" xfId="0" applyFill="1" applyBorder="1" applyAlignment="1">
      <alignment horizontal="center" vertical="center"/>
    </xf>
    <xf fontId="0" fillId="19" borderId="21" numFmtId="0" xfId="0" applyFill="1" applyBorder="1" applyAlignment="1">
      <alignment horizontal="center" vertical="center"/>
    </xf>
    <xf fontId="0" fillId="7" borderId="21" numFmtId="0" xfId="0" applyFill="1" applyBorder="1" applyAlignment="1">
      <alignment horizontal="center" vertical="center"/>
    </xf>
    <xf fontId="0" fillId="7" borderId="22" numFmtId="0" xfId="0" applyFill="1" applyBorder="1" applyAlignment="1">
      <alignment horizontal="center" vertical="center"/>
    </xf>
    <xf fontId="0" fillId="20" borderId="20" numFmtId="0" xfId="0" applyFill="1" applyBorder="1" applyAlignment="1">
      <alignment horizontal="center" vertical="center"/>
    </xf>
    <xf fontId="0" fillId="20" borderId="21" numFmtId="0" xfId="0" applyFill="1" applyBorder="1" applyAlignment="1">
      <alignment horizontal="center" vertical="center"/>
    </xf>
    <xf fontId="0" fillId="7" borderId="20" numFmtId="0" xfId="0" applyFill="1" applyBorder="1" applyAlignment="1">
      <alignment horizontal="center" vertical="center"/>
    </xf>
    <xf fontId="0" fillId="0" borderId="5" numFmtId="0" xfId="0" applyBorder="1" applyAlignment="1">
      <alignment horizontal="center"/>
    </xf>
    <xf fontId="1" fillId="0" borderId="0" numFmtId="2" xfId="0" applyNumberFormat="1" applyFont="1" applyAlignment="1">
      <alignment horizontal="center" vertical="center"/>
    </xf>
    <xf fontId="1" fillId="0" borderId="4" numFmtId="161" xfId="2" applyNumberFormat="1" applyFont="1" applyBorder="1" applyAlignment="1">
      <alignment horizontal="center" vertical="center"/>
    </xf>
    <xf fontId="0" fillId="21" borderId="5" numFmtId="0" xfId="0" applyFill="1" applyBorder="1" applyAlignment="1">
      <alignment horizontal="center"/>
    </xf>
    <xf fontId="0" fillId="17" borderId="5" numFmtId="0" xfId="0" applyFill="1" applyBorder="1" applyAlignment="1">
      <alignment horizontal="center"/>
    </xf>
    <xf fontId="0" fillId="11" borderId="5" numFmtId="161" xfId="0" applyNumberFormat="1" applyFill="1" applyBorder="1"/>
    <xf fontId="0" fillId="13" borderId="5" numFmtId="161" xfId="0" applyNumberFormat="1" applyFill="1" applyBorder="1"/>
  </cellXfs>
  <cellStyles count="3">
    <cellStyle name="Обычный" xfId="0" builtinId="0"/>
    <cellStyle name="Процентный" xfId="1" builtinId="5"/>
    <cellStyle name="Финансовый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8" Type="http://schemas.openxmlformats.org/officeDocument/2006/relationships/styles" Target="styles.xml"/><Relationship  Id="rId7" Type="http://schemas.openxmlformats.org/officeDocument/2006/relationships/sharedStrings" Target="sharedStrings.xml"/><Relationship  Id="rId6" Type="http://schemas.openxmlformats.org/officeDocument/2006/relationships/theme" Target="theme/theme1.xml"/><Relationship  Id="rId5" Type="http://schemas.openxmlformats.org/officeDocument/2006/relationships/worksheet" Target="worksheets/sheet4.xml"/><Relationship  Id="rId4" Type="http://schemas.openxmlformats.org/officeDocument/2006/relationships/worksheet" Target="worksheets/sheet3.xml"/><Relationship  Id="rId3" Type="http://schemas.openxmlformats.org/officeDocument/2006/relationships/worksheet" Target="worksheets/sheet2.xml"/><Relationship  Id="rId2" Type="http://schemas.openxmlformats.org/officeDocument/2006/relationships/worksheet" Target="worksheets/sheet1.xml"/><Relationship  Id="rId1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Автор" id="{B551CB52-1C51-A024-EE68-1ABF630277D0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2" personId="{B551CB52-1C51-A024-EE68-1ABF630277D0}" id="{00E700B8-0084-45E6-9A91-00A000CD00FA}" done="0">
    <text xml:space="preserve">Цена всех юнитов в игре уменьшена на 20%
</text>
  </threadedComment>
  <threadedComment ref="T2" personId="{B551CB52-1C51-A024-EE68-1ABF630277D0}" id="{00CF0080-00CC-480A-BACB-009500460033}" done="0">
    <text xml:space="preserve">Уровень в игре влияет на приоритет получения баффов и дебаффов на урон
</text>
  </threadedComment>
</ThreadedComments>
</file>

<file path=xl/worksheets/_rels/sheet1.xml.rels><?xml version="1.0" encoding="UTF-8" standalone="yes"?><Relationships xmlns="http://schemas.openxmlformats.org/package/2006/relationships"><Relationship  Id="rId3" Type="http://schemas.openxmlformats.org/officeDocument/2006/relationships/vmlDrawing" Target="../drawings/vmlDrawing1.vml"/><Relationship  Id="rId2" Type="http://schemas.openxmlformats.org/officeDocument/2006/relationships/comments" Target="../comments1.xml"/><Relationship  Id="rId1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111" zoomScale="115" workbookViewId="0">
      <selection activeCell="Q119" activeCellId="0" sqref="Q119"/>
    </sheetView>
  </sheetViews>
  <sheetFormatPr defaultRowHeight="14.25"/>
  <cols>
    <col customWidth="1" min="1" max="1" width="14.85546875"/>
    <col customWidth="1" min="2" max="2" width="7.42578125"/>
    <col customWidth="1" min="3" max="3" width="8.85546875"/>
    <col customWidth="1" min="4" max="4" width="6.85546875"/>
    <col customWidth="1" min="6" max="6" width="23.5703125"/>
    <col customWidth="1" min="7" max="7" width="10.28515625"/>
    <col customWidth="1" min="8" max="8" width="8"/>
    <col customWidth="1" min="9" max="9" width="7"/>
    <col customWidth="1" min="10" max="10" style="1" width="4.5703125"/>
    <col customWidth="1" min="11" max="11" width="6.85546875"/>
    <col customWidth="1" min="12" max="12" width="7.7109375"/>
    <col customWidth="1" min="13" max="13" width="10.140625"/>
    <col customWidth="1" min="14" max="14" width="19.7109375"/>
    <col customWidth="1" min="15" max="15" width="7.140625"/>
    <col customWidth="1" min="16" max="16" width="3"/>
    <col customWidth="1" min="17" max="17" width="4.85546875"/>
    <col customWidth="1" min="18" max="18" width="9.5703125"/>
    <col customWidth="1" min="19" max="19" style="1" width="6.42578125"/>
    <col customWidth="1" min="20" max="20" width="7.85546875"/>
    <col customWidth="1" min="21" max="21" width="7.5703125"/>
    <col customWidth="1" min="22" max="22" width="6.5703125"/>
  </cols>
  <sheetData>
    <row r="1">
      <c r="A1" s="2"/>
      <c r="B1" s="3"/>
      <c r="C1" s="4"/>
      <c r="D1" s="4"/>
      <c r="E1" s="4"/>
      <c r="F1" s="4"/>
      <c r="G1" s="4"/>
      <c r="H1" s="4"/>
      <c r="I1" s="5"/>
      <c r="J1" s="6"/>
      <c r="K1" s="7"/>
      <c r="L1" s="8"/>
      <c r="M1" s="8"/>
      <c r="N1" s="8"/>
      <c r="O1" s="9"/>
      <c r="P1" s="2"/>
      <c r="Q1" s="10"/>
      <c r="R1" s="11"/>
      <c r="T1" s="12"/>
      <c r="U1" s="13"/>
      <c r="V1" s="6"/>
    </row>
    <row r="2" ht="15.75">
      <c r="A2" s="14" t="s">
        <v>0</v>
      </c>
      <c r="B2" s="15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6</v>
      </c>
      <c r="H2" s="17" t="s">
        <v>7</v>
      </c>
      <c r="I2" s="17" t="s">
        <v>8</v>
      </c>
      <c r="J2" s="18"/>
      <c r="K2" s="16" t="s">
        <v>9</v>
      </c>
      <c r="L2" s="16" t="s">
        <v>10</v>
      </c>
      <c r="M2" s="16" t="s">
        <v>11</v>
      </c>
      <c r="N2" s="16" t="s">
        <v>12</v>
      </c>
      <c r="O2" s="17" t="s">
        <v>13</v>
      </c>
      <c r="P2" s="2"/>
      <c r="Q2" s="17" t="s">
        <v>14</v>
      </c>
      <c r="R2" s="19" t="s">
        <v>15</v>
      </c>
      <c r="T2" s="20" t="s">
        <v>16</v>
      </c>
      <c r="U2" s="20" t="s">
        <v>17</v>
      </c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1"/>
      <c r="T3" s="2"/>
      <c r="U3" s="22"/>
    </row>
    <row r="4">
      <c r="A4" s="23" t="s">
        <v>18</v>
      </c>
      <c r="B4" s="24">
        <v>6</v>
      </c>
      <c r="C4" s="24">
        <v>1</v>
      </c>
      <c r="D4" s="24">
        <v>3</v>
      </c>
      <c r="E4" s="24">
        <v>2.04</v>
      </c>
      <c r="F4" s="24">
        <f t="shared" ref="F4:F9" si="0">(2*B4+C4+D4)/(E4*2)</f>
        <v>3.9215686274509802</v>
      </c>
      <c r="G4" s="24"/>
      <c r="H4" s="24">
        <f t="shared" ref="H4:H9" si="1">F4*5.3544563483342</f>
        <v>20.997868032683133</v>
      </c>
      <c r="I4" s="25">
        <v>1</v>
      </c>
      <c r="J4" s="26"/>
      <c r="K4" s="27">
        <v>70</v>
      </c>
      <c r="L4" s="24">
        <v>0</v>
      </c>
      <c r="M4" s="24">
        <v>0.059999999999999998</v>
      </c>
      <c r="N4" s="24">
        <f t="shared" ref="N4:N21" si="2">K4*(L4*M4+1)</f>
        <v>70</v>
      </c>
      <c r="O4" s="25">
        <f t="shared" ref="O4:O21" si="3">N4*0.18159375101708</f>
        <v>12.7115625711956</v>
      </c>
      <c r="P4" s="26"/>
      <c r="Q4" s="27">
        <v>4</v>
      </c>
      <c r="R4" s="28">
        <f t="shared" ref="R4:R9" si="4">($H4+$O4+$Q4)*$I4*0.8</f>
        <v>30.167544483102986</v>
      </c>
      <c r="T4" s="29">
        <v>1</v>
      </c>
      <c r="U4" s="30">
        <v>0</v>
      </c>
    </row>
    <row r="5">
      <c r="A5" s="23" t="s">
        <v>19</v>
      </c>
      <c r="B5" s="26">
        <v>11</v>
      </c>
      <c r="C5" s="26">
        <v>1</v>
      </c>
      <c r="D5" s="26">
        <v>3</v>
      </c>
      <c r="E5" s="26">
        <v>2</v>
      </c>
      <c r="F5" s="26">
        <f t="shared" si="0"/>
        <v>6.5</v>
      </c>
      <c r="G5" s="26"/>
      <c r="H5" s="26">
        <f t="shared" si="1"/>
        <v>34.803966264172296</v>
      </c>
      <c r="I5" s="31">
        <v>1</v>
      </c>
      <c r="J5" s="32"/>
      <c r="K5" s="33">
        <v>100</v>
      </c>
      <c r="L5" s="26">
        <v>2</v>
      </c>
      <c r="M5" s="26">
        <v>0.059999999999999998</v>
      </c>
      <c r="N5" s="26">
        <f t="shared" si="2"/>
        <v>112.00000000000001</v>
      </c>
      <c r="O5" s="31">
        <f t="shared" si="3"/>
        <v>20.338500113912964</v>
      </c>
      <c r="P5" s="26"/>
      <c r="Q5" s="33">
        <v>13</v>
      </c>
      <c r="R5" s="34">
        <f t="shared" si="4"/>
        <v>54.513973102468213</v>
      </c>
      <c r="T5" s="34">
        <v>2</v>
      </c>
      <c r="U5" s="30">
        <v>0</v>
      </c>
    </row>
    <row r="6">
      <c r="A6" s="23" t="s">
        <v>20</v>
      </c>
      <c r="B6" s="35">
        <v>6</v>
      </c>
      <c r="C6" s="35">
        <v>1</v>
      </c>
      <c r="D6" s="35">
        <v>3</v>
      </c>
      <c r="E6" s="35">
        <v>2</v>
      </c>
      <c r="F6" s="26">
        <f t="shared" si="0"/>
        <v>4</v>
      </c>
      <c r="G6" s="35">
        <v>350</v>
      </c>
      <c r="H6" s="35">
        <f t="shared" si="1"/>
        <v>21.417825393336798</v>
      </c>
      <c r="I6" s="31">
        <f t="shared" ref="I6:I9" si="5">(500/F6)/((500/F6)-(G6/300))</f>
        <v>1.009421265141319</v>
      </c>
      <c r="J6" s="32"/>
      <c r="K6" s="36">
        <v>70</v>
      </c>
      <c r="L6" s="35">
        <v>0</v>
      </c>
      <c r="M6" s="35">
        <v>0.059999999999999998</v>
      </c>
      <c r="N6" s="35">
        <f t="shared" si="2"/>
        <v>70</v>
      </c>
      <c r="O6" s="37">
        <f t="shared" si="3"/>
        <v>12.7115625711956</v>
      </c>
      <c r="P6" s="26"/>
      <c r="Q6" s="36">
        <v>22</v>
      </c>
      <c r="R6" s="38">
        <f t="shared" si="4"/>
        <v>45.326558248612976</v>
      </c>
      <c r="T6" s="38">
        <v>2</v>
      </c>
      <c r="U6" s="39">
        <v>0</v>
      </c>
    </row>
    <row r="7">
      <c r="A7" s="23" t="s">
        <v>21</v>
      </c>
      <c r="B7" s="24">
        <v>7</v>
      </c>
      <c r="C7" s="24">
        <v>1</v>
      </c>
      <c r="D7" s="24">
        <v>3</v>
      </c>
      <c r="E7" s="24">
        <v>1.8999999999999999</v>
      </c>
      <c r="F7" s="24">
        <f t="shared" si="0"/>
        <v>4.7368421052631584</v>
      </c>
      <c r="G7" s="24">
        <v>600</v>
      </c>
      <c r="H7" s="24">
        <f t="shared" si="1"/>
        <v>25.363214281583055</v>
      </c>
      <c r="I7" s="25">
        <f t="shared" si="5"/>
        <v>1.0193133047210301</v>
      </c>
      <c r="J7" s="26"/>
      <c r="K7" s="27">
        <v>70</v>
      </c>
      <c r="L7" s="24">
        <v>0</v>
      </c>
      <c r="M7" s="24">
        <v>0.059999999999999998</v>
      </c>
      <c r="N7" s="24">
        <f t="shared" si="2"/>
        <v>70</v>
      </c>
      <c r="O7" s="25">
        <f t="shared" si="3"/>
        <v>12.7115625711956</v>
      </c>
      <c r="P7" s="26"/>
      <c r="Q7" s="27">
        <v>11</v>
      </c>
      <c r="R7" s="34">
        <f t="shared" si="4"/>
        <v>40.01805837780234</v>
      </c>
      <c r="T7" s="34">
        <v>3</v>
      </c>
      <c r="U7" s="30">
        <v>0</v>
      </c>
    </row>
    <row r="8">
      <c r="A8" s="40" t="s">
        <v>22</v>
      </c>
      <c r="B8" s="33">
        <v>24</v>
      </c>
      <c r="C8" s="26">
        <v>1</v>
      </c>
      <c r="D8" s="26">
        <v>1</v>
      </c>
      <c r="E8" s="26">
        <v>1.7</v>
      </c>
      <c r="F8" s="26">
        <f t="shared" si="0"/>
        <v>14.705882352941178</v>
      </c>
      <c r="G8" s="26">
        <v>600</v>
      </c>
      <c r="H8" s="26">
        <f t="shared" si="1"/>
        <v>78.742005122561764</v>
      </c>
      <c r="I8" s="31">
        <f t="shared" si="5"/>
        <v>1.0625</v>
      </c>
      <c r="J8" s="32"/>
      <c r="K8" s="33">
        <v>75</v>
      </c>
      <c r="L8" s="26">
        <v>0</v>
      </c>
      <c r="M8" s="26">
        <v>0.059999999999999998</v>
      </c>
      <c r="N8" s="26">
        <f t="shared" si="2"/>
        <v>75</v>
      </c>
      <c r="O8" s="31">
        <f t="shared" si="3"/>
        <v>13.619531326281001</v>
      </c>
      <c r="P8" s="26"/>
      <c r="Q8" s="33">
        <v>2</v>
      </c>
      <c r="R8" s="34">
        <f t="shared" si="4"/>
        <v>80.207305981516356</v>
      </c>
      <c r="T8" s="34">
        <v>4</v>
      </c>
      <c r="U8" s="30">
        <v>4</v>
      </c>
    </row>
    <row r="9">
      <c r="A9" s="23" t="s">
        <v>23</v>
      </c>
      <c r="B9" s="26">
        <v>7</v>
      </c>
      <c r="C9" s="26">
        <v>1</v>
      </c>
      <c r="D9" s="26">
        <v>3</v>
      </c>
      <c r="E9" s="26">
        <v>1.8999999999999999</v>
      </c>
      <c r="F9" s="26">
        <f t="shared" si="0"/>
        <v>4.7368421052631584</v>
      </c>
      <c r="G9" s="26">
        <v>850</v>
      </c>
      <c r="H9" s="26">
        <f t="shared" si="1"/>
        <v>25.363214281583055</v>
      </c>
      <c r="I9" s="31">
        <f t="shared" si="5"/>
        <v>1.0275824770146025</v>
      </c>
      <c r="J9" s="32"/>
      <c r="K9" s="36">
        <v>80</v>
      </c>
      <c r="L9" s="35">
        <v>0</v>
      </c>
      <c r="M9" s="35">
        <v>0.059999999999999998</v>
      </c>
      <c r="N9" s="35">
        <f t="shared" si="2"/>
        <v>80</v>
      </c>
      <c r="O9" s="37">
        <f t="shared" si="3"/>
        <v>14.5275000813664</v>
      </c>
      <c r="P9" s="35"/>
      <c r="Q9" s="41">
        <v>27</v>
      </c>
      <c r="R9" s="38">
        <f t="shared" si="4"/>
        <v>54.988580763484677</v>
      </c>
      <c r="S9" s="42"/>
      <c r="T9" s="38">
        <v>3</v>
      </c>
      <c r="U9" s="39">
        <v>2</v>
      </c>
    </row>
    <row r="10">
      <c r="A10" s="23" t="s">
        <v>24</v>
      </c>
      <c r="B10" s="24">
        <v>8</v>
      </c>
      <c r="C10" s="24">
        <v>1</v>
      </c>
      <c r="D10" s="24">
        <v>3</v>
      </c>
      <c r="E10" s="24">
        <v>2.3500000000000001</v>
      </c>
      <c r="F10" s="24">
        <f t="shared" ref="F10:F73" si="6">(2*B10+C10+D10)/(E10*2)</f>
        <v>4.2553191489361701</v>
      </c>
      <c r="G10" s="24"/>
      <c r="H10" s="24">
        <f t="shared" ref="H10:H73" si="7">F10*5.3544563483342</f>
        <v>22.78492063120936</v>
      </c>
      <c r="I10" s="25">
        <f t="shared" ref="I10:I73" si="8">(500/F10)/((500/F10)-(G10/300))</f>
        <v>1</v>
      </c>
      <c r="J10" s="26"/>
      <c r="K10" s="33">
        <v>115</v>
      </c>
      <c r="L10" s="26">
        <v>2</v>
      </c>
      <c r="M10" s="26">
        <v>0.059999999999999998</v>
      </c>
      <c r="N10" s="26">
        <f t="shared" si="2"/>
        <v>128.80000000000001</v>
      </c>
      <c r="O10" s="31">
        <f t="shared" si="3"/>
        <v>23.389275130999906</v>
      </c>
      <c r="P10" s="26"/>
      <c r="Q10" s="33">
        <v>6</v>
      </c>
      <c r="R10" s="34">
        <f t="shared" ref="R10:R73" si="9">($H10+$O10+$Q10)*$I10*0.8</f>
        <v>41.739356609767412</v>
      </c>
      <c r="T10" s="34">
        <v>2</v>
      </c>
      <c r="U10" s="30">
        <v>0</v>
      </c>
    </row>
    <row r="11">
      <c r="A11" s="23" t="s">
        <v>25</v>
      </c>
      <c r="B11" s="26">
        <v>8</v>
      </c>
      <c r="C11" s="26">
        <v>1</v>
      </c>
      <c r="D11" s="26">
        <v>3</v>
      </c>
      <c r="E11" s="26">
        <v>1.95</v>
      </c>
      <c r="F11" s="26">
        <f t="shared" si="6"/>
        <v>5.1282051282051286</v>
      </c>
      <c r="G11" s="26"/>
      <c r="H11" s="26">
        <f t="shared" si="7"/>
        <v>27.458750504277948</v>
      </c>
      <c r="I11" s="31">
        <f t="shared" si="8"/>
        <v>1</v>
      </c>
      <c r="J11" s="32"/>
      <c r="K11" s="33">
        <v>190</v>
      </c>
      <c r="L11" s="26">
        <v>2</v>
      </c>
      <c r="M11" s="26">
        <v>0.059999999999999998</v>
      </c>
      <c r="N11" s="26">
        <f t="shared" si="2"/>
        <v>212.80000000000001</v>
      </c>
      <c r="O11" s="31">
        <f t="shared" si="3"/>
        <v>38.643150216434627</v>
      </c>
      <c r="P11" s="26"/>
      <c r="Q11" s="33">
        <v>59</v>
      </c>
      <c r="R11" s="34">
        <f t="shared" si="9"/>
        <v>100.08152057657007</v>
      </c>
      <c r="T11" s="34">
        <v>2</v>
      </c>
      <c r="U11" s="30">
        <v>0</v>
      </c>
    </row>
    <row r="12">
      <c r="A12" s="23" t="s">
        <v>26</v>
      </c>
      <c r="B12" s="35">
        <v>8</v>
      </c>
      <c r="C12" s="35">
        <v>1</v>
      </c>
      <c r="D12" s="35">
        <v>3</v>
      </c>
      <c r="E12" s="35">
        <v>2.1499999999999999</v>
      </c>
      <c r="F12" s="35">
        <f t="shared" si="6"/>
        <v>4.6511627906976747</v>
      </c>
      <c r="G12" s="35"/>
      <c r="H12" s="35">
        <f t="shared" si="7"/>
        <v>24.904448131786975</v>
      </c>
      <c r="I12" s="37">
        <f t="shared" si="8"/>
        <v>1</v>
      </c>
      <c r="J12" s="32"/>
      <c r="K12" s="36">
        <v>205</v>
      </c>
      <c r="L12" s="35">
        <v>2</v>
      </c>
      <c r="M12" s="35">
        <v>0.059999999999999998</v>
      </c>
      <c r="N12" s="35">
        <f t="shared" si="2"/>
        <v>229.60000000000002</v>
      </c>
      <c r="O12" s="37">
        <f t="shared" si="3"/>
        <v>41.693925233521576</v>
      </c>
      <c r="P12" s="26"/>
      <c r="Q12" s="36">
        <v>27</v>
      </c>
      <c r="R12" s="38">
        <f t="shared" si="9"/>
        <v>74.878698692246843</v>
      </c>
      <c r="T12" s="38">
        <v>2</v>
      </c>
      <c r="U12" s="39">
        <v>1</v>
      </c>
    </row>
    <row r="13">
      <c r="A13" s="23" t="s">
        <v>27</v>
      </c>
      <c r="B13" s="24">
        <v>4</v>
      </c>
      <c r="C13" s="24">
        <v>1</v>
      </c>
      <c r="D13" s="24">
        <v>3</v>
      </c>
      <c r="E13" s="24">
        <v>1.8500000000000001</v>
      </c>
      <c r="F13" s="24">
        <f t="shared" si="6"/>
        <v>3.243243243243243</v>
      </c>
      <c r="G13" s="24">
        <v>450</v>
      </c>
      <c r="H13" s="24">
        <f t="shared" si="7"/>
        <v>17.365804372975781</v>
      </c>
      <c r="I13" s="25">
        <f t="shared" si="8"/>
        <v>1.009825327510917</v>
      </c>
      <c r="J13" s="26"/>
      <c r="K13" s="27">
        <v>95</v>
      </c>
      <c r="L13" s="24">
        <v>0</v>
      </c>
      <c r="M13" s="24">
        <v>0.059999999999999998</v>
      </c>
      <c r="N13" s="24">
        <f t="shared" si="2"/>
        <v>95</v>
      </c>
      <c r="O13" s="25">
        <f t="shared" si="3"/>
        <v>17.251406346622598</v>
      </c>
      <c r="P13" s="26"/>
      <c r="Q13" s="27">
        <v>40</v>
      </c>
      <c r="R13" s="34">
        <f t="shared" si="9"/>
        <v>60.280279402295633</v>
      </c>
      <c r="T13" s="34">
        <v>1</v>
      </c>
      <c r="U13" s="30">
        <v>3</v>
      </c>
    </row>
    <row r="14">
      <c r="A14" s="23" t="s">
        <v>28</v>
      </c>
      <c r="B14" s="26">
        <v>8</v>
      </c>
      <c r="C14" s="26">
        <v>1</v>
      </c>
      <c r="D14" s="26">
        <v>3</v>
      </c>
      <c r="E14" s="26">
        <v>1.8999999999999999</v>
      </c>
      <c r="F14" s="26">
        <f t="shared" si="6"/>
        <v>5.2631578947368425</v>
      </c>
      <c r="G14" s="26">
        <v>450</v>
      </c>
      <c r="H14" s="26">
        <f t="shared" si="7"/>
        <v>28.181349201758948</v>
      </c>
      <c r="I14" s="31">
        <f t="shared" si="8"/>
        <v>1.0160427807486632</v>
      </c>
      <c r="J14" s="32"/>
      <c r="K14" s="33">
        <v>120</v>
      </c>
      <c r="L14" s="26">
        <v>0</v>
      </c>
      <c r="M14" s="26">
        <v>0.059999999999999998</v>
      </c>
      <c r="N14" s="26">
        <f t="shared" si="2"/>
        <v>120</v>
      </c>
      <c r="O14" s="31">
        <f t="shared" si="3"/>
        <v>21.7912501220496</v>
      </c>
      <c r="P14" s="26"/>
      <c r="Q14" s="33">
        <v>36</v>
      </c>
      <c r="R14" s="34">
        <f t="shared" si="9"/>
        <v>69.881471108122469</v>
      </c>
      <c r="T14" s="34">
        <v>2</v>
      </c>
      <c r="U14" s="30">
        <v>0</v>
      </c>
    </row>
    <row r="15">
      <c r="A15" s="23" t="s">
        <v>29</v>
      </c>
      <c r="B15" s="35">
        <v>10</v>
      </c>
      <c r="C15" s="35">
        <v>1</v>
      </c>
      <c r="D15" s="35">
        <v>3</v>
      </c>
      <c r="E15" s="35">
        <v>1.8999999999999999</v>
      </c>
      <c r="F15" s="35">
        <f t="shared" si="6"/>
        <v>6.3157894736842106</v>
      </c>
      <c r="G15" s="35">
        <v>530</v>
      </c>
      <c r="H15" s="35">
        <f t="shared" si="7"/>
        <v>33.817619042110735</v>
      </c>
      <c r="I15" s="37">
        <f t="shared" si="8"/>
        <v>1.0228251507321275</v>
      </c>
      <c r="J15" s="32"/>
      <c r="K15" s="36">
        <v>110</v>
      </c>
      <c r="L15" s="35">
        <v>0</v>
      </c>
      <c r="M15" s="35">
        <v>0.059999999999999998</v>
      </c>
      <c r="N15" s="35">
        <f t="shared" si="2"/>
        <v>110</v>
      </c>
      <c r="O15" s="37">
        <f t="shared" si="3"/>
        <v>19.975312611878799</v>
      </c>
      <c r="P15" s="26"/>
      <c r="Q15" s="36">
        <v>87</v>
      </c>
      <c r="R15" s="38">
        <f t="shared" si="9"/>
        <v>115.20524123280798</v>
      </c>
      <c r="T15" s="38">
        <v>3</v>
      </c>
      <c r="U15" s="39">
        <v>5</v>
      </c>
    </row>
    <row r="16">
      <c r="A16" s="23" t="s">
        <v>30</v>
      </c>
      <c r="B16" s="24">
        <v>15</v>
      </c>
      <c r="C16" s="24">
        <v>1</v>
      </c>
      <c r="D16" s="24">
        <v>4</v>
      </c>
      <c r="E16" s="24">
        <v>1.8</v>
      </c>
      <c r="F16" s="24">
        <f t="shared" si="6"/>
        <v>9.7222222222222214</v>
      </c>
      <c r="G16" s="24"/>
      <c r="H16" s="24">
        <f t="shared" si="7"/>
        <v>52.0572144976936</v>
      </c>
      <c r="I16" s="25">
        <v>1</v>
      </c>
      <c r="J16" s="26"/>
      <c r="K16" s="27">
        <v>200</v>
      </c>
      <c r="L16" s="24">
        <v>3</v>
      </c>
      <c r="M16" s="24">
        <v>0.059999999999999998</v>
      </c>
      <c r="N16" s="24">
        <f t="shared" si="2"/>
        <v>236</v>
      </c>
      <c r="O16" s="25">
        <f t="shared" si="3"/>
        <v>42.856125240030877</v>
      </c>
      <c r="P16" s="26"/>
      <c r="Q16" s="27">
        <v>17</v>
      </c>
      <c r="R16" s="34">
        <f t="shared" si="9"/>
        <v>89.530671790179582</v>
      </c>
      <c r="T16" s="34">
        <v>3</v>
      </c>
      <c r="U16" s="30">
        <v>4</v>
      </c>
    </row>
    <row r="17">
      <c r="A17" s="23" t="s">
        <v>31</v>
      </c>
      <c r="B17" s="26">
        <v>18</v>
      </c>
      <c r="C17" s="26">
        <v>1</v>
      </c>
      <c r="D17" s="26">
        <v>4</v>
      </c>
      <c r="E17" s="26">
        <v>1.8</v>
      </c>
      <c r="F17" s="26">
        <f t="shared" si="6"/>
        <v>11.388888888888889</v>
      </c>
      <c r="G17" s="26"/>
      <c r="H17" s="26">
        <f t="shared" si="7"/>
        <v>60.981308411583939</v>
      </c>
      <c r="I17" s="31">
        <v>1</v>
      </c>
      <c r="J17" s="32"/>
      <c r="K17" s="33">
        <v>375</v>
      </c>
      <c r="L17" s="26">
        <v>5</v>
      </c>
      <c r="M17" s="26">
        <v>0.059999999999999998</v>
      </c>
      <c r="N17" s="26">
        <f t="shared" si="2"/>
        <v>487.5</v>
      </c>
      <c r="O17" s="31">
        <f t="shared" si="3"/>
        <v>88.526953620826504</v>
      </c>
      <c r="P17" s="26"/>
      <c r="Q17" s="33">
        <v>32</v>
      </c>
      <c r="R17" s="34">
        <f t="shared" si="9"/>
        <v>145.20660962592837</v>
      </c>
      <c r="T17" s="34">
        <v>4</v>
      </c>
      <c r="U17" s="30">
        <v>5</v>
      </c>
    </row>
    <row r="18">
      <c r="A18" s="23" t="s">
        <v>32</v>
      </c>
      <c r="B18" s="35">
        <v>13</v>
      </c>
      <c r="C18" s="35">
        <v>1</v>
      </c>
      <c r="D18" s="35">
        <v>6</v>
      </c>
      <c r="E18" s="35">
        <v>1.8</v>
      </c>
      <c r="F18" s="35">
        <f t="shared" si="6"/>
        <v>9.1666666666666661</v>
      </c>
      <c r="G18" s="35">
        <v>480</v>
      </c>
      <c r="H18" s="35">
        <f t="shared" si="7"/>
        <v>49.082516526396823</v>
      </c>
      <c r="I18" s="37">
        <f t="shared" si="8"/>
        <v>1.0302197802197803</v>
      </c>
      <c r="J18" s="32"/>
      <c r="K18" s="36">
        <v>190</v>
      </c>
      <c r="L18" s="35">
        <v>1</v>
      </c>
      <c r="M18" s="35">
        <v>0.059999999999999998</v>
      </c>
      <c r="N18" s="35">
        <f t="shared" si="2"/>
        <v>201.40000000000001</v>
      </c>
      <c r="O18" s="37">
        <f t="shared" si="3"/>
        <v>36.572981454839912</v>
      </c>
      <c r="P18" s="26"/>
      <c r="Q18" s="36">
        <v>36</v>
      </c>
      <c r="R18" s="38">
        <f t="shared" si="9"/>
        <v>100.26552031420613</v>
      </c>
      <c r="T18" s="38">
        <v>3</v>
      </c>
      <c r="U18" s="39">
        <v>4</v>
      </c>
    </row>
    <row r="19">
      <c r="A19" s="23" t="s">
        <v>33</v>
      </c>
      <c r="B19" s="27">
        <v>24</v>
      </c>
      <c r="C19" s="24">
        <v>1</v>
      </c>
      <c r="D19" s="24">
        <v>11</v>
      </c>
      <c r="E19" s="24">
        <v>1.7</v>
      </c>
      <c r="F19" s="24">
        <f t="shared" si="6"/>
        <v>17.647058823529413</v>
      </c>
      <c r="G19" s="24"/>
      <c r="H19" s="24">
        <f t="shared" si="7"/>
        <v>94.490406147074111</v>
      </c>
      <c r="I19" s="25">
        <v>1</v>
      </c>
      <c r="J19" s="26"/>
      <c r="K19" s="27">
        <v>575</v>
      </c>
      <c r="L19" s="24">
        <v>3</v>
      </c>
      <c r="M19" s="24">
        <v>0.059999999999999998</v>
      </c>
      <c r="N19" s="24">
        <f t="shared" si="2"/>
        <v>678.5</v>
      </c>
      <c r="O19" s="25">
        <f t="shared" si="3"/>
        <v>123.21136006508878</v>
      </c>
      <c r="P19" s="26"/>
      <c r="Q19" s="33">
        <v>95</v>
      </c>
      <c r="R19" s="34">
        <f t="shared" si="9"/>
        <v>250.16141296973035</v>
      </c>
      <c r="T19" s="34">
        <v>6</v>
      </c>
      <c r="U19" s="30">
        <v>6</v>
      </c>
    </row>
    <row r="20">
      <c r="A20" s="23" t="s">
        <v>34</v>
      </c>
      <c r="B20" s="33">
        <v>44</v>
      </c>
      <c r="C20" s="26">
        <v>1</v>
      </c>
      <c r="D20" s="26">
        <v>11</v>
      </c>
      <c r="E20" s="26">
        <v>1.55</v>
      </c>
      <c r="F20" s="26">
        <f t="shared" si="6"/>
        <v>32.258064516129032</v>
      </c>
      <c r="G20" s="26"/>
      <c r="H20" s="26">
        <f t="shared" si="7"/>
        <v>172.72439833336128</v>
      </c>
      <c r="I20" s="31">
        <v>1</v>
      </c>
      <c r="J20" s="32"/>
      <c r="K20" s="33">
        <v>810</v>
      </c>
      <c r="L20" s="26">
        <v>3</v>
      </c>
      <c r="M20" s="26">
        <v>0.059999999999999998</v>
      </c>
      <c r="N20" s="26">
        <f t="shared" si="2"/>
        <v>955.79999999999995</v>
      </c>
      <c r="O20" s="31">
        <f t="shared" si="3"/>
        <v>173.56730722212507</v>
      </c>
      <c r="P20" s="26"/>
      <c r="Q20" s="33">
        <v>154</v>
      </c>
      <c r="R20" s="34">
        <f t="shared" si="9"/>
        <v>400.23336444438911</v>
      </c>
      <c r="T20" s="34">
        <v>7</v>
      </c>
      <c r="U20" s="30">
        <v>7</v>
      </c>
    </row>
    <row r="21">
      <c r="A21" s="23" t="s">
        <v>35</v>
      </c>
      <c r="B21" s="36">
        <v>32</v>
      </c>
      <c r="C21" s="35">
        <v>1</v>
      </c>
      <c r="D21" s="35">
        <v>11</v>
      </c>
      <c r="E21" s="35">
        <v>1.7</v>
      </c>
      <c r="F21" s="35">
        <f t="shared" si="6"/>
        <v>22.352941176470591</v>
      </c>
      <c r="G21" s="35"/>
      <c r="H21" s="35">
        <f t="shared" si="7"/>
        <v>119.68784778629389</v>
      </c>
      <c r="I21" s="37">
        <v>1</v>
      </c>
      <c r="J21" s="32"/>
      <c r="K21" s="36">
        <v>910</v>
      </c>
      <c r="L21" s="35">
        <v>3</v>
      </c>
      <c r="M21" s="35">
        <v>0.059999999999999998</v>
      </c>
      <c r="N21" s="35">
        <f t="shared" si="2"/>
        <v>1073.8</v>
      </c>
      <c r="O21" s="37">
        <f t="shared" si="3"/>
        <v>194.99536984214049</v>
      </c>
      <c r="P21" s="26"/>
      <c r="Q21" s="36">
        <v>310</v>
      </c>
      <c r="R21" s="38">
        <f t="shared" si="9"/>
        <v>499.7465741027475</v>
      </c>
      <c r="T21" s="38">
        <v>8</v>
      </c>
      <c r="U21" s="39">
        <v>9</v>
      </c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T22" s="26"/>
      <c r="U22" s="2"/>
    </row>
    <row r="24">
      <c r="T24" s="43"/>
    </row>
    <row r="25">
      <c r="A25" s="2"/>
      <c r="B25" s="3"/>
      <c r="C25" s="4"/>
      <c r="D25" s="4"/>
      <c r="E25" s="4"/>
      <c r="F25" s="4"/>
      <c r="G25" s="4"/>
      <c r="H25" s="4"/>
      <c r="I25" s="5"/>
      <c r="K25" s="44"/>
      <c r="L25" s="44"/>
      <c r="M25" s="44"/>
      <c r="N25" s="44"/>
      <c r="O25" s="44"/>
      <c r="P25" s="2"/>
      <c r="Q25" s="10"/>
      <c r="R25" s="11"/>
      <c r="T25" s="12"/>
      <c r="U25" s="45"/>
    </row>
    <row r="26" ht="15.75">
      <c r="A26" s="14" t="s">
        <v>36</v>
      </c>
      <c r="B26" s="15" t="s">
        <v>1</v>
      </c>
      <c r="C26" s="16" t="s">
        <v>2</v>
      </c>
      <c r="D26" s="16" t="s">
        <v>3</v>
      </c>
      <c r="E26" s="16" t="s">
        <v>4</v>
      </c>
      <c r="F26" s="16" t="s">
        <v>5</v>
      </c>
      <c r="G26" s="16" t="s">
        <v>6</v>
      </c>
      <c r="H26" s="17" t="s">
        <v>7</v>
      </c>
      <c r="I26" s="17" t="s">
        <v>8</v>
      </c>
      <c r="K26" s="16" t="s">
        <v>9</v>
      </c>
      <c r="L26" s="16" t="s">
        <v>10</v>
      </c>
      <c r="M26" s="16" t="s">
        <v>11</v>
      </c>
      <c r="N26" s="16" t="s">
        <v>12</v>
      </c>
      <c r="O26" s="17" t="s">
        <v>13</v>
      </c>
      <c r="P26" s="2"/>
      <c r="Q26" s="17" t="s">
        <v>14</v>
      </c>
      <c r="R26" s="19" t="s">
        <v>15</v>
      </c>
      <c r="T26" s="20" t="s">
        <v>16</v>
      </c>
      <c r="U26" s="20" t="s">
        <v>17</v>
      </c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1"/>
      <c r="T27" s="26"/>
      <c r="U27" s="22"/>
      <c r="V27" s="2"/>
      <c r="W27" s="46"/>
    </row>
    <row r="28">
      <c r="A28" s="40" t="s">
        <v>37</v>
      </c>
      <c r="B28" s="27">
        <v>7</v>
      </c>
      <c r="C28" s="24">
        <v>1</v>
      </c>
      <c r="D28" s="24">
        <v>2</v>
      </c>
      <c r="E28" s="24">
        <v>2.25</v>
      </c>
      <c r="F28" s="24">
        <f t="shared" si="6"/>
        <v>3.7777777777777777</v>
      </c>
      <c r="G28" s="24"/>
      <c r="H28" s="24">
        <f t="shared" si="7"/>
        <v>20.227946204818085</v>
      </c>
      <c r="I28" s="25">
        <v>1</v>
      </c>
      <c r="J28" s="26"/>
      <c r="K28" s="27">
        <v>165</v>
      </c>
      <c r="L28" s="24">
        <v>0</v>
      </c>
      <c r="M28" s="24">
        <v>0.059999999999999998</v>
      </c>
      <c r="N28" s="24">
        <f t="shared" ref="N28:N91" si="10">K28*(L28*M28+1)</f>
        <v>165</v>
      </c>
      <c r="O28" s="25">
        <f t="shared" ref="O28:O91" si="11">N28*0.18159375101708</f>
        <v>29.962968917818202</v>
      </c>
      <c r="P28" s="26"/>
      <c r="Q28" s="27">
        <v>12</v>
      </c>
      <c r="R28" s="28">
        <f t="shared" si="9"/>
        <v>49.752732098109028</v>
      </c>
      <c r="T28" s="28">
        <v>2</v>
      </c>
      <c r="U28" s="30">
        <v>0</v>
      </c>
      <c r="W28" s="46"/>
      <c r="AM28" t="s">
        <v>38</v>
      </c>
    </row>
    <row r="29">
      <c r="A29" s="40" t="s">
        <v>39</v>
      </c>
      <c r="B29" s="33">
        <v>7</v>
      </c>
      <c r="C29" s="26">
        <v>1</v>
      </c>
      <c r="D29" s="26">
        <v>2</v>
      </c>
      <c r="E29" s="26">
        <v>2.25</v>
      </c>
      <c r="F29" s="26">
        <f t="shared" si="6"/>
        <v>3.7777777777777777</v>
      </c>
      <c r="G29" s="26"/>
      <c r="H29" s="26">
        <f t="shared" si="7"/>
        <v>20.227946204818085</v>
      </c>
      <c r="I29" s="31">
        <f t="shared" si="8"/>
        <v>1</v>
      </c>
      <c r="J29" s="32"/>
      <c r="K29" s="33">
        <v>180</v>
      </c>
      <c r="L29" s="26">
        <v>0</v>
      </c>
      <c r="M29" s="26">
        <v>0.059999999999999998</v>
      </c>
      <c r="N29" s="26">
        <f t="shared" si="10"/>
        <v>180</v>
      </c>
      <c r="O29" s="31">
        <f t="shared" si="11"/>
        <v>32.686875183074399</v>
      </c>
      <c r="P29" s="26"/>
      <c r="Q29" s="33">
        <v>34</v>
      </c>
      <c r="R29" s="34">
        <f t="shared" si="9"/>
        <v>69.531857110313993</v>
      </c>
      <c r="T29" s="34">
        <v>2</v>
      </c>
      <c r="U29" s="30">
        <v>0</v>
      </c>
      <c r="W29" s="46"/>
    </row>
    <row r="30">
      <c r="A30" s="40" t="s">
        <v>40</v>
      </c>
      <c r="B30" s="33">
        <v>26</v>
      </c>
      <c r="C30" s="26">
        <v>1</v>
      </c>
      <c r="D30" s="26">
        <v>6</v>
      </c>
      <c r="E30" s="26">
        <v>1.7</v>
      </c>
      <c r="F30" s="26">
        <f t="shared" si="6"/>
        <v>17.352941176470587</v>
      </c>
      <c r="G30" s="26"/>
      <c r="H30" s="26">
        <f t="shared" si="7"/>
        <v>92.915566044622864</v>
      </c>
      <c r="I30" s="31">
        <v>1</v>
      </c>
      <c r="J30" s="32"/>
      <c r="K30" s="33">
        <v>250</v>
      </c>
      <c r="L30" s="26">
        <v>3</v>
      </c>
      <c r="M30" s="26">
        <v>0.059999999999999998</v>
      </c>
      <c r="N30" s="26">
        <f t="shared" si="10"/>
        <v>295</v>
      </c>
      <c r="O30" s="31">
        <f t="shared" si="11"/>
        <v>53.570156550038604</v>
      </c>
      <c r="P30" s="46"/>
      <c r="Q30" s="33">
        <v>28</v>
      </c>
      <c r="R30" s="38">
        <f t="shared" si="9"/>
        <v>139.58857807572917</v>
      </c>
      <c r="T30" s="38">
        <v>5</v>
      </c>
      <c r="U30" s="39">
        <v>5</v>
      </c>
      <c r="W30" s="46"/>
    </row>
    <row r="31">
      <c r="A31" s="40" t="s">
        <v>41</v>
      </c>
      <c r="B31" s="27">
        <v>11</v>
      </c>
      <c r="C31" s="24">
        <v>1</v>
      </c>
      <c r="D31" s="24">
        <v>2</v>
      </c>
      <c r="E31" s="24">
        <v>2.0499999999999998</v>
      </c>
      <c r="F31" s="24">
        <f t="shared" si="6"/>
        <v>6.0975609756097562</v>
      </c>
      <c r="G31" s="24">
        <v>500</v>
      </c>
      <c r="H31" s="24">
        <f t="shared" si="7"/>
        <v>32.649124075208533</v>
      </c>
      <c r="I31" s="25">
        <f t="shared" si="8"/>
        <v>1.0207468879668051</v>
      </c>
      <c r="J31" s="32"/>
      <c r="K31" s="27">
        <v>75</v>
      </c>
      <c r="L31" s="24">
        <v>0</v>
      </c>
      <c r="M31" s="24">
        <v>0.059999999999999998</v>
      </c>
      <c r="N31" s="24">
        <f t="shared" si="10"/>
        <v>75</v>
      </c>
      <c r="O31" s="25">
        <f t="shared" si="11"/>
        <v>13.619531326281001</v>
      </c>
      <c r="P31" s="46"/>
      <c r="Q31" s="27">
        <v>9</v>
      </c>
      <c r="R31" s="34">
        <f t="shared" si="9"/>
        <v>45.132246402544155</v>
      </c>
      <c r="T31" s="34">
        <v>3</v>
      </c>
      <c r="U31" s="30">
        <v>0</v>
      </c>
      <c r="W31" s="46"/>
    </row>
    <row r="32">
      <c r="A32" s="23" t="s">
        <v>42</v>
      </c>
      <c r="B32" s="26">
        <v>7</v>
      </c>
      <c r="C32" s="26">
        <v>1</v>
      </c>
      <c r="D32" s="26">
        <v>3</v>
      </c>
      <c r="E32" s="26">
        <v>1.75</v>
      </c>
      <c r="F32" s="26">
        <f t="shared" si="6"/>
        <v>5.1428571428571432</v>
      </c>
      <c r="G32" s="26">
        <v>620</v>
      </c>
      <c r="H32" s="26">
        <f t="shared" si="7"/>
        <v>27.537204077147315</v>
      </c>
      <c r="I32" s="31">
        <f t="shared" si="8"/>
        <v>1.0217188229799159</v>
      </c>
      <c r="J32" s="26"/>
      <c r="K32" s="33">
        <v>80</v>
      </c>
      <c r="L32" s="26">
        <v>0</v>
      </c>
      <c r="M32" s="26">
        <v>0.059999999999999998</v>
      </c>
      <c r="N32" s="26">
        <f t="shared" si="10"/>
        <v>80</v>
      </c>
      <c r="O32" s="31">
        <f t="shared" si="11"/>
        <v>14.5275000813664</v>
      </c>
      <c r="P32" s="46"/>
      <c r="Q32" s="47">
        <v>80</v>
      </c>
      <c r="R32" s="48">
        <f t="shared" si="9"/>
        <v>99.772644688182623</v>
      </c>
      <c r="T32" s="34">
        <v>1</v>
      </c>
      <c r="U32" s="30">
        <v>2</v>
      </c>
      <c r="W32" s="46"/>
    </row>
    <row r="33">
      <c r="A33" s="40" t="s">
        <v>43</v>
      </c>
      <c r="B33" s="36">
        <v>9</v>
      </c>
      <c r="C33" s="35">
        <v>1</v>
      </c>
      <c r="D33" s="35">
        <v>2</v>
      </c>
      <c r="E33" s="35">
        <v>2.0499999999999998</v>
      </c>
      <c r="F33" s="35">
        <f t="shared" si="6"/>
        <v>5.1219512195121952</v>
      </c>
      <c r="G33" s="35">
        <v>500</v>
      </c>
      <c r="H33" s="35">
        <f t="shared" si="7"/>
        <v>27.425264223175169</v>
      </c>
      <c r="I33" s="37">
        <f t="shared" si="8"/>
        <v>1.0173697270471465</v>
      </c>
      <c r="J33" s="32"/>
      <c r="K33" s="36">
        <v>90</v>
      </c>
      <c r="L33" s="35">
        <v>0</v>
      </c>
      <c r="M33" s="35">
        <v>0.059999999999999998</v>
      </c>
      <c r="N33" s="35">
        <f t="shared" si="10"/>
        <v>90</v>
      </c>
      <c r="O33" s="37">
        <f t="shared" si="11"/>
        <v>16.343437591537199</v>
      </c>
      <c r="P33" s="46"/>
      <c r="Q33" s="36">
        <v>45</v>
      </c>
      <c r="R33" s="38">
        <f t="shared" si="9"/>
        <v>72.248471948450771</v>
      </c>
      <c r="T33" s="38">
        <v>4</v>
      </c>
      <c r="U33" s="39">
        <v>4</v>
      </c>
      <c r="W33" s="46"/>
    </row>
    <row r="34">
      <c r="A34" s="40" t="s">
        <v>44</v>
      </c>
      <c r="B34" s="27">
        <v>13</v>
      </c>
      <c r="C34" s="24">
        <v>1</v>
      </c>
      <c r="D34" s="24">
        <v>3</v>
      </c>
      <c r="E34" s="24">
        <v>2.1000000000000001</v>
      </c>
      <c r="F34" s="24">
        <f t="shared" si="6"/>
        <v>7.1428571428571423</v>
      </c>
      <c r="G34" s="24"/>
      <c r="H34" s="24">
        <f t="shared" si="7"/>
        <v>38.246116773815707</v>
      </c>
      <c r="I34" s="25">
        <v>1</v>
      </c>
      <c r="J34" s="32"/>
      <c r="K34" s="27">
        <v>210</v>
      </c>
      <c r="L34" s="24">
        <v>3</v>
      </c>
      <c r="M34" s="24">
        <v>0.059999999999999998</v>
      </c>
      <c r="N34" s="24">
        <f t="shared" si="10"/>
        <v>247.79999999999998</v>
      </c>
      <c r="O34" s="25">
        <f t="shared" si="11"/>
        <v>44.99893150203242</v>
      </c>
      <c r="P34" s="46"/>
      <c r="Q34" s="27">
        <v>23</v>
      </c>
      <c r="R34" s="34">
        <f t="shared" si="9"/>
        <v>84.996038620678505</v>
      </c>
      <c r="T34" s="34">
        <v>3</v>
      </c>
      <c r="U34" s="30">
        <v>4</v>
      </c>
      <c r="W34" s="46"/>
    </row>
    <row r="35">
      <c r="A35" s="40" t="s">
        <v>45</v>
      </c>
      <c r="B35" s="33">
        <v>16</v>
      </c>
      <c r="C35" s="26">
        <v>1</v>
      </c>
      <c r="D35" s="26">
        <v>3</v>
      </c>
      <c r="E35" s="26">
        <v>1.5</v>
      </c>
      <c r="F35" s="26">
        <f t="shared" si="6"/>
        <v>12</v>
      </c>
      <c r="G35" s="26">
        <v>620</v>
      </c>
      <c r="H35" s="26">
        <f t="shared" si="7"/>
        <v>64.253476180010395</v>
      </c>
      <c r="I35" s="31">
        <f t="shared" si="8"/>
        <v>1.0521885521885523</v>
      </c>
      <c r="J35" s="32"/>
      <c r="K35" s="33">
        <v>210</v>
      </c>
      <c r="L35" s="26">
        <v>3</v>
      </c>
      <c r="M35" s="26">
        <v>0.059999999999999998</v>
      </c>
      <c r="N35" s="26">
        <f t="shared" si="10"/>
        <v>247.79999999999998</v>
      </c>
      <c r="O35" s="31">
        <f t="shared" si="11"/>
        <v>44.99893150203242</v>
      </c>
      <c r="P35" s="46"/>
      <c r="Q35" s="33">
        <v>152</v>
      </c>
      <c r="R35" s="34">
        <f t="shared" si="9"/>
        <v>219.90943407579368</v>
      </c>
      <c r="T35" s="34">
        <v>4</v>
      </c>
      <c r="U35" s="30">
        <v>6</v>
      </c>
      <c r="W35" s="46"/>
    </row>
    <row r="36">
      <c r="A36" s="40" t="s">
        <v>46</v>
      </c>
      <c r="B36" s="36">
        <v>13</v>
      </c>
      <c r="C36" s="35">
        <v>1</v>
      </c>
      <c r="D36" s="35">
        <v>3</v>
      </c>
      <c r="E36" s="35">
        <v>2.1000000000000001</v>
      </c>
      <c r="F36" s="35">
        <f t="shared" si="6"/>
        <v>7.1428571428571423</v>
      </c>
      <c r="G36" s="35"/>
      <c r="H36" s="35">
        <f t="shared" si="7"/>
        <v>38.246116773815707</v>
      </c>
      <c r="I36" s="37">
        <v>1</v>
      </c>
      <c r="J36" s="26"/>
      <c r="K36" s="36">
        <v>245</v>
      </c>
      <c r="L36" s="35">
        <v>4</v>
      </c>
      <c r="M36" s="35">
        <v>0.059999999999999998</v>
      </c>
      <c r="N36" s="35">
        <f t="shared" si="10"/>
        <v>303.80000000000001</v>
      </c>
      <c r="O36" s="37">
        <f t="shared" si="11"/>
        <v>55.168181558988906</v>
      </c>
      <c r="P36" s="46"/>
      <c r="Q36" s="36">
        <v>82</v>
      </c>
      <c r="R36" s="38">
        <f t="shared" si="9"/>
        <v>140.33143866624368</v>
      </c>
      <c r="T36" s="38">
        <v>3</v>
      </c>
      <c r="U36" s="39">
        <v>4</v>
      </c>
    </row>
    <row r="37">
      <c r="A37" s="40" t="s">
        <v>47</v>
      </c>
      <c r="B37" s="33">
        <v>9</v>
      </c>
      <c r="C37" s="26">
        <v>1</v>
      </c>
      <c r="D37" s="26">
        <v>1</v>
      </c>
      <c r="E37" s="26">
        <v>2.25</v>
      </c>
      <c r="F37" s="26">
        <f t="shared" si="6"/>
        <v>4.4444444444444446</v>
      </c>
      <c r="G37" s="26">
        <v>550</v>
      </c>
      <c r="H37" s="26">
        <f t="shared" si="7"/>
        <v>23.797583770374221</v>
      </c>
      <c r="I37" s="31">
        <f t="shared" si="8"/>
        <v>1.0165662650602409</v>
      </c>
      <c r="J37" s="32"/>
      <c r="K37" s="33">
        <v>90</v>
      </c>
      <c r="L37" s="26">
        <v>0</v>
      </c>
      <c r="M37" s="26">
        <v>0.059999999999999998</v>
      </c>
      <c r="N37" s="26">
        <f t="shared" si="10"/>
        <v>90</v>
      </c>
      <c r="O37" s="31">
        <f t="shared" si="11"/>
        <v>16.343437591537199</v>
      </c>
      <c r="P37" s="46"/>
      <c r="Q37" s="33">
        <v>52</v>
      </c>
      <c r="R37" s="34">
        <f t="shared" si="9"/>
        <v>74.933963155771323</v>
      </c>
      <c r="T37" s="34">
        <v>4</v>
      </c>
      <c r="U37" s="30">
        <v>4</v>
      </c>
    </row>
    <row r="38">
      <c r="A38" s="40" t="s">
        <v>48</v>
      </c>
      <c r="B38" s="33">
        <v>8</v>
      </c>
      <c r="C38" s="26">
        <v>1</v>
      </c>
      <c r="D38" s="26">
        <v>3</v>
      </c>
      <c r="E38" s="26">
        <v>1.97</v>
      </c>
      <c r="F38" s="26">
        <f t="shared" si="6"/>
        <v>5.0761421319796955</v>
      </c>
      <c r="G38" s="26">
        <v>620</v>
      </c>
      <c r="H38" s="26">
        <f t="shared" si="7"/>
        <v>27.179981463625378</v>
      </c>
      <c r="I38" s="31">
        <f t="shared" si="8"/>
        <v>1.0214310404424471</v>
      </c>
      <c r="J38" s="32"/>
      <c r="K38" s="33">
        <v>100</v>
      </c>
      <c r="L38" s="26">
        <v>0</v>
      </c>
      <c r="M38" s="26">
        <v>0.059999999999999998</v>
      </c>
      <c r="N38" s="26">
        <f t="shared" si="10"/>
        <v>100</v>
      </c>
      <c r="O38" s="31">
        <f t="shared" si="11"/>
        <v>18.159375101708001</v>
      </c>
      <c r="P38" s="46"/>
      <c r="Q38" s="33">
        <v>77</v>
      </c>
      <c r="R38" s="34">
        <f t="shared" si="9"/>
        <v>99.9689730108704</v>
      </c>
      <c r="T38" s="34">
        <v>1</v>
      </c>
      <c r="U38" s="30">
        <v>3</v>
      </c>
    </row>
    <row r="39">
      <c r="A39" s="40" t="s">
        <v>49</v>
      </c>
      <c r="B39" s="36">
        <v>8</v>
      </c>
      <c r="C39" s="35">
        <v>1</v>
      </c>
      <c r="D39" s="35">
        <v>3</v>
      </c>
      <c r="E39" s="35">
        <v>1.97</v>
      </c>
      <c r="F39" s="35">
        <f t="shared" si="6"/>
        <v>5.0761421319796955</v>
      </c>
      <c r="G39" s="35">
        <v>650</v>
      </c>
      <c r="H39" s="35">
        <f t="shared" si="7"/>
        <v>27.179981463625378</v>
      </c>
      <c r="I39" s="37">
        <f t="shared" si="8"/>
        <v>1.0224913494809689</v>
      </c>
      <c r="J39" s="2"/>
      <c r="K39" s="36">
        <v>120</v>
      </c>
      <c r="L39" s="35">
        <v>0</v>
      </c>
      <c r="M39" s="35">
        <v>0.059999999999999998</v>
      </c>
      <c r="N39" s="35">
        <f t="shared" si="10"/>
        <v>120</v>
      </c>
      <c r="O39" s="37">
        <f t="shared" si="11"/>
        <v>21.7912501220496</v>
      </c>
      <c r="P39" s="46"/>
      <c r="Q39" s="36">
        <v>49</v>
      </c>
      <c r="R39" s="38">
        <f t="shared" si="9"/>
        <v>80.139789435479486</v>
      </c>
      <c r="T39" s="38">
        <v>2</v>
      </c>
      <c r="U39" s="39">
        <v>3</v>
      </c>
    </row>
    <row r="40">
      <c r="A40" s="40" t="s">
        <v>50</v>
      </c>
      <c r="B40" s="27">
        <v>24</v>
      </c>
      <c r="C40" s="24">
        <v>1</v>
      </c>
      <c r="D40" s="24">
        <v>6</v>
      </c>
      <c r="E40" s="24">
        <v>2.25</v>
      </c>
      <c r="F40" s="24">
        <f t="shared" si="6"/>
        <v>12.222222222222221</v>
      </c>
      <c r="G40" s="24"/>
      <c r="H40" s="24">
        <f t="shared" si="7"/>
        <v>65.443355368529097</v>
      </c>
      <c r="I40" s="25">
        <v>1</v>
      </c>
      <c r="K40" s="27">
        <v>410</v>
      </c>
      <c r="L40" s="24">
        <v>4</v>
      </c>
      <c r="M40" s="24">
        <v>0.059999999999999998</v>
      </c>
      <c r="N40" s="24">
        <f t="shared" si="10"/>
        <v>508.39999999999998</v>
      </c>
      <c r="O40" s="25">
        <f t="shared" si="11"/>
        <v>92.322263017083472</v>
      </c>
      <c r="P40" s="46"/>
      <c r="Q40" s="27">
        <v>24</v>
      </c>
      <c r="R40" s="34">
        <f t="shared" si="9"/>
        <v>145.41249470849007</v>
      </c>
      <c r="T40" s="34">
        <v>4</v>
      </c>
      <c r="U40" s="30">
        <v>5</v>
      </c>
    </row>
    <row r="41">
      <c r="A41" s="40" t="s">
        <v>51</v>
      </c>
      <c r="B41" s="33">
        <v>24</v>
      </c>
      <c r="C41" s="26">
        <v>1</v>
      </c>
      <c r="D41" s="26">
        <v>6</v>
      </c>
      <c r="E41" s="26">
        <v>2.1000000000000001</v>
      </c>
      <c r="F41" s="26">
        <f t="shared" si="6"/>
        <v>13.095238095238095</v>
      </c>
      <c r="G41" s="26"/>
      <c r="H41" s="26">
        <f t="shared" si="7"/>
        <v>70.117880751995472</v>
      </c>
      <c r="I41" s="31">
        <f t="shared" si="8"/>
        <v>1</v>
      </c>
      <c r="K41" s="33">
        <v>410</v>
      </c>
      <c r="L41" s="26">
        <v>4</v>
      </c>
      <c r="M41" s="26">
        <v>0.059999999999999998</v>
      </c>
      <c r="N41" s="26">
        <f t="shared" si="10"/>
        <v>508.39999999999998</v>
      </c>
      <c r="O41" s="31">
        <f t="shared" si="11"/>
        <v>92.322263017083472</v>
      </c>
      <c r="P41" s="46"/>
      <c r="Q41" s="33">
        <v>88</v>
      </c>
      <c r="R41" s="34">
        <f t="shared" si="9"/>
        <v>200.35211501526317</v>
      </c>
      <c r="T41" s="34">
        <v>5</v>
      </c>
      <c r="U41" s="30">
        <v>6</v>
      </c>
    </row>
    <row r="42">
      <c r="A42" s="40" t="s">
        <v>52</v>
      </c>
      <c r="B42" s="36">
        <v>25</v>
      </c>
      <c r="C42" s="35">
        <v>1</v>
      </c>
      <c r="D42" s="35">
        <v>3</v>
      </c>
      <c r="E42" s="35">
        <v>2.1000000000000001</v>
      </c>
      <c r="F42" s="35">
        <f t="shared" si="6"/>
        <v>12.857142857142856</v>
      </c>
      <c r="G42" s="35">
        <v>420</v>
      </c>
      <c r="H42" s="35">
        <f t="shared" si="7"/>
        <v>68.843010192868277</v>
      </c>
      <c r="I42" s="37">
        <f t="shared" si="8"/>
        <v>1.0373443983402488</v>
      </c>
      <c r="K42" s="36">
        <v>310</v>
      </c>
      <c r="L42" s="35">
        <v>3</v>
      </c>
      <c r="M42" s="35">
        <v>0.059999999999999998</v>
      </c>
      <c r="N42" s="35">
        <f t="shared" si="10"/>
        <v>365.79999999999995</v>
      </c>
      <c r="O42" s="37">
        <f t="shared" si="11"/>
        <v>66.426994122047859</v>
      </c>
      <c r="P42" s="46"/>
      <c r="Q42" s="36">
        <v>96</v>
      </c>
      <c r="R42" s="38">
        <f t="shared" si="9"/>
        <v>191.92531478416277</v>
      </c>
      <c r="T42" s="38">
        <v>4</v>
      </c>
      <c r="U42" s="39">
        <v>5</v>
      </c>
    </row>
    <row r="43">
      <c r="A43" s="40" t="s">
        <v>53</v>
      </c>
      <c r="B43" s="33">
        <v>20</v>
      </c>
      <c r="C43" s="26">
        <v>1</v>
      </c>
      <c r="D43" s="26">
        <v>3</v>
      </c>
      <c r="E43" s="26">
        <v>2.1000000000000001</v>
      </c>
      <c r="F43" s="26">
        <f t="shared" si="6"/>
        <v>10.476190476190476</v>
      </c>
      <c r="G43" s="26">
        <v>510</v>
      </c>
      <c r="H43" s="26">
        <f t="shared" si="7"/>
        <v>56.094304601596377</v>
      </c>
      <c r="I43" s="31">
        <f t="shared" si="8"/>
        <v>1.0369346237408652</v>
      </c>
      <c r="K43" s="33">
        <v>240</v>
      </c>
      <c r="L43" s="26">
        <v>2</v>
      </c>
      <c r="M43" s="26">
        <v>0.059999999999999998</v>
      </c>
      <c r="N43" s="26">
        <f t="shared" si="10"/>
        <v>268.80000000000001</v>
      </c>
      <c r="O43" s="31">
        <f t="shared" si="11"/>
        <v>48.812400273391106</v>
      </c>
      <c r="P43" s="26"/>
      <c r="Q43" s="33">
        <v>64</v>
      </c>
      <c r="R43" s="34">
        <f t="shared" si="9"/>
        <v>140.11616837348365</v>
      </c>
      <c r="T43" s="34">
        <v>3</v>
      </c>
      <c r="U43" s="30">
        <v>3</v>
      </c>
    </row>
    <row r="44">
      <c r="A44" s="40" t="s">
        <v>54</v>
      </c>
      <c r="B44" s="33">
        <v>34</v>
      </c>
      <c r="C44" s="26">
        <v>1</v>
      </c>
      <c r="D44" s="26">
        <v>3</v>
      </c>
      <c r="E44" s="26">
        <v>2.1000000000000001</v>
      </c>
      <c r="F44" s="26">
        <f t="shared" si="6"/>
        <v>17.142857142857142</v>
      </c>
      <c r="G44" s="26"/>
      <c r="H44" s="26">
        <f t="shared" si="7"/>
        <v>91.790680257157703</v>
      </c>
      <c r="I44" s="31">
        <v>1</v>
      </c>
      <c r="K44" s="33">
        <v>400</v>
      </c>
      <c r="L44" s="26">
        <v>7</v>
      </c>
      <c r="M44" s="26">
        <v>0.059999999999999998</v>
      </c>
      <c r="N44" s="26">
        <f t="shared" si="10"/>
        <v>568</v>
      </c>
      <c r="O44" s="31">
        <f t="shared" si="11"/>
        <v>103.14525057770145</v>
      </c>
      <c r="P44" s="2"/>
      <c r="Q44" s="33">
        <v>74</v>
      </c>
      <c r="R44" s="34">
        <f t="shared" si="9"/>
        <v>215.14874466788734</v>
      </c>
      <c r="T44" s="34">
        <v>5</v>
      </c>
      <c r="U44" s="30">
        <v>6</v>
      </c>
    </row>
    <row r="45">
      <c r="A45" s="40" t="s">
        <v>55</v>
      </c>
      <c r="B45" s="36">
        <v>25</v>
      </c>
      <c r="C45" s="35">
        <v>1</v>
      </c>
      <c r="D45" s="35">
        <v>3</v>
      </c>
      <c r="E45" s="35">
        <v>1.8500000000000001</v>
      </c>
      <c r="F45" s="35">
        <f t="shared" si="6"/>
        <v>14.594594594594595</v>
      </c>
      <c r="G45" s="35"/>
      <c r="H45" s="35">
        <f t="shared" si="7"/>
        <v>78.146119678391017</v>
      </c>
      <c r="I45" s="37">
        <f t="shared" si="8"/>
        <v>1</v>
      </c>
      <c r="K45" s="36">
        <v>680</v>
      </c>
      <c r="L45" s="35">
        <v>7</v>
      </c>
      <c r="M45" s="35">
        <v>0.059999999999999998</v>
      </c>
      <c r="N45" s="35">
        <f t="shared" si="10"/>
        <v>965.59999999999991</v>
      </c>
      <c r="O45" s="37">
        <f t="shared" si="11"/>
        <v>175.34692598209244</v>
      </c>
      <c r="Q45" s="36">
        <v>247</v>
      </c>
      <c r="R45" s="38">
        <f t="shared" si="9"/>
        <v>400.39443652838679</v>
      </c>
      <c r="T45" s="38">
        <v>7</v>
      </c>
      <c r="U45" s="39">
        <v>8</v>
      </c>
    </row>
    <row r="46">
      <c r="A46" s="26"/>
      <c r="B46" s="26"/>
      <c r="C46" s="26"/>
      <c r="D46" s="26"/>
      <c r="E46" s="26"/>
      <c r="F46" s="26"/>
      <c r="G46" s="26"/>
      <c r="H46" s="26"/>
      <c r="I46" s="26"/>
      <c r="K46" s="26"/>
      <c r="L46" s="26"/>
      <c r="M46" s="26"/>
      <c r="N46" s="26"/>
      <c r="O46" s="26"/>
      <c r="P46" s="2"/>
      <c r="Q46" s="26"/>
      <c r="R46" s="49"/>
      <c r="T46" s="43"/>
    </row>
    <row r="47">
      <c r="T47" s="43"/>
    </row>
    <row r="48">
      <c r="T48" s="43"/>
    </row>
    <row r="49">
      <c r="A49" s="2"/>
      <c r="B49" s="3"/>
      <c r="C49" s="4"/>
      <c r="D49" s="4"/>
      <c r="E49" s="4"/>
      <c r="F49" s="4"/>
      <c r="G49" s="4"/>
      <c r="H49" s="4"/>
      <c r="I49" s="5"/>
      <c r="K49" s="44"/>
      <c r="L49" s="44"/>
      <c r="M49" s="44"/>
      <c r="N49" s="44"/>
      <c r="O49" s="44"/>
      <c r="P49" s="2"/>
      <c r="Q49" s="10"/>
      <c r="R49" s="11"/>
      <c r="T49" s="12"/>
      <c r="U49" s="45"/>
    </row>
    <row r="50" ht="15.75">
      <c r="A50" s="14" t="s">
        <v>56</v>
      </c>
      <c r="B50" s="15" t="s">
        <v>1</v>
      </c>
      <c r="C50" s="16" t="s">
        <v>2</v>
      </c>
      <c r="D50" s="16" t="s">
        <v>3</v>
      </c>
      <c r="E50" s="16" t="s">
        <v>4</v>
      </c>
      <c r="F50" s="16" t="s">
        <v>5</v>
      </c>
      <c r="G50" s="16" t="s">
        <v>6</v>
      </c>
      <c r="H50" s="17" t="s">
        <v>7</v>
      </c>
      <c r="I50" s="17" t="s">
        <v>8</v>
      </c>
      <c r="K50" s="16" t="s">
        <v>9</v>
      </c>
      <c r="L50" s="16" t="s">
        <v>10</v>
      </c>
      <c r="M50" s="16" t="s">
        <v>11</v>
      </c>
      <c r="N50" s="16" t="s">
        <v>12</v>
      </c>
      <c r="O50" s="17" t="s">
        <v>13</v>
      </c>
      <c r="P50" s="2"/>
      <c r="Q50" s="17" t="s">
        <v>14</v>
      </c>
      <c r="R50" s="19" t="s">
        <v>15</v>
      </c>
      <c r="T50" s="20" t="s">
        <v>16</v>
      </c>
      <c r="U50" s="20" t="s">
        <v>17</v>
      </c>
    </row>
    <row r="51">
      <c r="A51" s="2"/>
      <c r="B51" s="2"/>
      <c r="C51" s="2"/>
      <c r="D51" s="2"/>
      <c r="E51" s="2"/>
      <c r="F51" s="2"/>
      <c r="G51" s="2"/>
      <c r="H51" s="2"/>
      <c r="I51" s="2"/>
      <c r="K51" s="2"/>
      <c r="L51" s="2"/>
      <c r="M51" s="2"/>
      <c r="N51" s="2"/>
      <c r="O51" s="2"/>
      <c r="P51" s="2"/>
      <c r="Q51" s="2"/>
      <c r="R51" s="21"/>
      <c r="T51" s="26"/>
      <c r="U51" s="22"/>
    </row>
    <row r="52">
      <c r="A52" s="40" t="s">
        <v>57</v>
      </c>
      <c r="B52" s="27">
        <v>7</v>
      </c>
      <c r="C52" s="24">
        <v>1</v>
      </c>
      <c r="D52" s="24">
        <v>3</v>
      </c>
      <c r="E52" s="24">
        <v>2.1000000000000001</v>
      </c>
      <c r="F52" s="24">
        <f t="shared" si="6"/>
        <v>4.2857142857142856</v>
      </c>
      <c r="G52" s="24"/>
      <c r="H52" s="24">
        <f t="shared" si="7"/>
        <v>22.947670064289426</v>
      </c>
      <c r="I52" s="25">
        <v>1</v>
      </c>
      <c r="K52" s="27">
        <v>70</v>
      </c>
      <c r="L52" s="24">
        <v>2</v>
      </c>
      <c r="M52" s="24">
        <v>0.059999999999999998</v>
      </c>
      <c r="N52" s="24">
        <f t="shared" si="10"/>
        <v>78.400000000000006</v>
      </c>
      <c r="O52" s="25">
        <f t="shared" si="11"/>
        <v>14.236950079739072</v>
      </c>
      <c r="P52" s="26"/>
      <c r="Q52" s="27">
        <v>-19</v>
      </c>
      <c r="R52" s="28">
        <f t="shared" si="9"/>
        <v>14.5476961152228</v>
      </c>
      <c r="T52" s="28">
        <v>1</v>
      </c>
      <c r="U52" s="30">
        <v>0</v>
      </c>
    </row>
    <row r="53">
      <c r="A53" s="40" t="s">
        <v>58</v>
      </c>
      <c r="B53" s="33">
        <v>8</v>
      </c>
      <c r="C53" s="26">
        <v>1</v>
      </c>
      <c r="D53" s="26">
        <v>3</v>
      </c>
      <c r="E53" s="26">
        <v>2</v>
      </c>
      <c r="F53" s="26">
        <f t="shared" si="6"/>
        <v>5</v>
      </c>
      <c r="G53" s="26"/>
      <c r="H53" s="26">
        <f t="shared" si="7"/>
        <v>26.772281741670998</v>
      </c>
      <c r="I53" s="31">
        <f t="shared" si="8"/>
        <v>1</v>
      </c>
      <c r="K53" s="33">
        <v>140</v>
      </c>
      <c r="L53" s="26">
        <v>2</v>
      </c>
      <c r="M53" s="26">
        <v>0.059999999999999998</v>
      </c>
      <c r="N53" s="26">
        <f t="shared" si="10"/>
        <v>156.80000000000001</v>
      </c>
      <c r="O53" s="31">
        <f t="shared" si="11"/>
        <v>28.473900159478145</v>
      </c>
      <c r="P53" s="26"/>
      <c r="Q53" s="33">
        <v>20</v>
      </c>
      <c r="R53" s="34">
        <f t="shared" si="9"/>
        <v>60.196945520919314</v>
      </c>
      <c r="T53" s="34">
        <v>2</v>
      </c>
      <c r="U53" s="30">
        <v>0</v>
      </c>
    </row>
    <row r="54">
      <c r="A54" s="40" t="s">
        <v>59</v>
      </c>
      <c r="B54" s="36">
        <v>10</v>
      </c>
      <c r="C54" s="35">
        <v>1</v>
      </c>
      <c r="D54" s="35">
        <v>3</v>
      </c>
      <c r="E54" s="35">
        <v>2</v>
      </c>
      <c r="F54" s="35">
        <f t="shared" si="6"/>
        <v>6</v>
      </c>
      <c r="G54" s="35"/>
      <c r="H54" s="35">
        <f t="shared" si="7"/>
        <v>32.126738090005198</v>
      </c>
      <c r="I54" s="37">
        <f t="shared" si="8"/>
        <v>1</v>
      </c>
      <c r="K54" s="36">
        <v>135</v>
      </c>
      <c r="L54" s="35">
        <v>2</v>
      </c>
      <c r="M54" s="35">
        <v>0.059999999999999998</v>
      </c>
      <c r="N54" s="35">
        <f t="shared" si="10"/>
        <v>151.20000000000002</v>
      </c>
      <c r="O54" s="37">
        <f t="shared" si="11"/>
        <v>27.456975153782498</v>
      </c>
      <c r="P54" s="26"/>
      <c r="Q54" s="36">
        <v>22</v>
      </c>
      <c r="R54" s="38">
        <f t="shared" si="9"/>
        <v>65.266970595030159</v>
      </c>
      <c r="T54" s="38">
        <v>3</v>
      </c>
      <c r="U54" s="39">
        <v>3</v>
      </c>
    </row>
    <row r="55">
      <c r="A55" s="40" t="s">
        <v>60</v>
      </c>
      <c r="B55" s="33">
        <v>5</v>
      </c>
      <c r="C55" s="26">
        <v>1</v>
      </c>
      <c r="D55" s="26">
        <v>3</v>
      </c>
      <c r="E55" s="26">
        <v>1.75</v>
      </c>
      <c r="F55" s="26">
        <f t="shared" si="6"/>
        <v>4</v>
      </c>
      <c r="G55" s="26">
        <v>600</v>
      </c>
      <c r="H55" s="26">
        <f t="shared" si="7"/>
        <v>21.417825393336798</v>
      </c>
      <c r="I55" s="31">
        <f t="shared" si="8"/>
        <v>1.0162601626016261</v>
      </c>
      <c r="K55" s="33">
        <v>55</v>
      </c>
      <c r="L55" s="26">
        <v>0</v>
      </c>
      <c r="M55" s="26">
        <v>0.059999999999999998</v>
      </c>
      <c r="N55" s="26">
        <f t="shared" si="10"/>
        <v>55</v>
      </c>
      <c r="O55" s="31">
        <f t="shared" si="11"/>
        <v>9.9876563059393995</v>
      </c>
      <c r="P55" s="46"/>
      <c r="Q55" s="33">
        <v>18</v>
      </c>
      <c r="R55" s="34">
        <f t="shared" si="9"/>
        <v>40.167058292094474</v>
      </c>
      <c r="T55" s="34">
        <v>2</v>
      </c>
      <c r="U55" s="30">
        <v>2</v>
      </c>
    </row>
    <row r="56">
      <c r="A56" s="40" t="s">
        <v>61</v>
      </c>
      <c r="B56" s="33">
        <v>7</v>
      </c>
      <c r="C56" s="26">
        <v>1</v>
      </c>
      <c r="D56" s="26">
        <v>1</v>
      </c>
      <c r="E56" s="26">
        <v>1.6499999999999999</v>
      </c>
      <c r="F56" s="26">
        <f t="shared" si="6"/>
        <v>4.8484848484848486</v>
      </c>
      <c r="G56" s="26">
        <v>580</v>
      </c>
      <c r="H56" s="26">
        <f t="shared" si="7"/>
        <v>25.961000476771879</v>
      </c>
      <c r="I56" s="31">
        <f t="shared" si="8"/>
        <v>1.0191056575804991</v>
      </c>
      <c r="K56" s="33">
        <v>125</v>
      </c>
      <c r="L56" s="26">
        <v>0</v>
      </c>
      <c r="M56" s="26">
        <v>0.059999999999999998</v>
      </c>
      <c r="N56" s="26">
        <f t="shared" si="10"/>
        <v>125</v>
      </c>
      <c r="O56" s="31">
        <f t="shared" si="11"/>
        <v>22.699218877134999</v>
      </c>
      <c r="P56" s="46"/>
      <c r="Q56" s="33">
        <v>62</v>
      </c>
      <c r="R56" s="34">
        <f t="shared" si="9"/>
        <v>90.219564490132441</v>
      </c>
      <c r="T56" s="34">
        <v>4</v>
      </c>
      <c r="U56" s="30">
        <v>4</v>
      </c>
    </row>
    <row r="57">
      <c r="A57" s="40" t="s">
        <v>62</v>
      </c>
      <c r="B57" s="36">
        <v>9</v>
      </c>
      <c r="C57" s="35">
        <v>1</v>
      </c>
      <c r="D57" s="35">
        <v>3</v>
      </c>
      <c r="E57" s="35">
        <v>1.75</v>
      </c>
      <c r="F57" s="35">
        <f t="shared" si="6"/>
        <v>6.2857142857142856</v>
      </c>
      <c r="G57" s="35">
        <v>650</v>
      </c>
      <c r="H57" s="35">
        <f t="shared" si="7"/>
        <v>33.656582760957825</v>
      </c>
      <c r="I57" s="37">
        <f t="shared" si="8"/>
        <v>1.0280007832386922</v>
      </c>
      <c r="K57" s="36">
        <v>75</v>
      </c>
      <c r="L57" s="35">
        <v>0</v>
      </c>
      <c r="M57" s="35">
        <v>0.059999999999999998</v>
      </c>
      <c r="N57" s="35">
        <f t="shared" si="10"/>
        <v>75</v>
      </c>
      <c r="O57" s="37">
        <f t="shared" si="11"/>
        <v>13.619531326281001</v>
      </c>
      <c r="P57" s="46"/>
      <c r="Q57" s="36">
        <v>13</v>
      </c>
      <c r="R57" s="38">
        <f t="shared" si="9"/>
        <v>49.571113993813022</v>
      </c>
      <c r="T57" s="38">
        <v>3</v>
      </c>
      <c r="U57" s="39">
        <v>0</v>
      </c>
    </row>
    <row r="58">
      <c r="A58" s="40" t="s">
        <v>63</v>
      </c>
      <c r="B58" s="33">
        <v>9</v>
      </c>
      <c r="C58" s="26">
        <v>1</v>
      </c>
      <c r="D58" s="26">
        <v>5</v>
      </c>
      <c r="E58" s="26">
        <v>2.0499999999999998</v>
      </c>
      <c r="F58" s="26">
        <f t="shared" si="6"/>
        <v>5.8536585365853666</v>
      </c>
      <c r="G58" s="26"/>
      <c r="H58" s="26">
        <f t="shared" si="7"/>
        <v>31.343159112200198</v>
      </c>
      <c r="I58" s="31">
        <v>1</v>
      </c>
      <c r="K58" s="33">
        <v>250</v>
      </c>
      <c r="L58" s="26">
        <v>3</v>
      </c>
      <c r="M58" s="26">
        <v>0.059999999999999998</v>
      </c>
      <c r="N58" s="26">
        <f t="shared" si="10"/>
        <v>295</v>
      </c>
      <c r="O58" s="31">
        <f t="shared" si="11"/>
        <v>53.570156550038604</v>
      </c>
      <c r="P58" s="46"/>
      <c r="Q58" s="33">
        <v>40</v>
      </c>
      <c r="R58" s="34">
        <f t="shared" si="9"/>
        <v>99.930652529791047</v>
      </c>
      <c r="T58" s="34">
        <v>1</v>
      </c>
      <c r="U58" s="30">
        <v>4</v>
      </c>
    </row>
    <row r="59">
      <c r="A59" s="40" t="s">
        <v>64</v>
      </c>
      <c r="B59" s="33">
        <v>13</v>
      </c>
      <c r="C59" s="26">
        <v>1</v>
      </c>
      <c r="D59" s="26">
        <v>2</v>
      </c>
      <c r="E59" s="26">
        <v>1.8999999999999999</v>
      </c>
      <c r="F59" s="26">
        <f t="shared" si="6"/>
        <v>7.6315789473684212</v>
      </c>
      <c r="G59" s="26"/>
      <c r="H59" s="26">
        <f t="shared" si="7"/>
        <v>40.862956342550468</v>
      </c>
      <c r="I59" s="31">
        <v>1</v>
      </c>
      <c r="K59" s="33">
        <v>360</v>
      </c>
      <c r="L59" s="26">
        <v>4</v>
      </c>
      <c r="M59" s="26">
        <v>0.059999999999999998</v>
      </c>
      <c r="N59" s="26">
        <f t="shared" si="10"/>
        <v>446.39999999999998</v>
      </c>
      <c r="O59" s="31">
        <f t="shared" si="11"/>
        <v>81.063450454024505</v>
      </c>
      <c r="P59" s="2"/>
      <c r="Q59" s="33">
        <v>65</v>
      </c>
      <c r="R59" s="34">
        <f t="shared" si="9"/>
        <v>149.54112543725998</v>
      </c>
      <c r="T59" s="34">
        <v>2</v>
      </c>
      <c r="U59" s="30">
        <v>5</v>
      </c>
    </row>
    <row r="60">
      <c r="A60" s="40" t="s">
        <v>65</v>
      </c>
      <c r="B60" s="36">
        <v>9</v>
      </c>
      <c r="C60" s="35">
        <v>1</v>
      </c>
      <c r="D60" s="35">
        <v>5</v>
      </c>
      <c r="E60" s="35">
        <v>2.0499999999999998</v>
      </c>
      <c r="F60" s="35">
        <f t="shared" si="6"/>
        <v>5.8536585365853666</v>
      </c>
      <c r="G60" s="35"/>
      <c r="H60" s="35">
        <f t="shared" si="7"/>
        <v>31.343159112200198</v>
      </c>
      <c r="I60" s="37">
        <v>1</v>
      </c>
      <c r="K60" s="36">
        <v>270</v>
      </c>
      <c r="L60" s="35">
        <v>3</v>
      </c>
      <c r="M60" s="35">
        <v>0.059999999999999998</v>
      </c>
      <c r="N60" s="35">
        <f t="shared" si="10"/>
        <v>318.59999999999997</v>
      </c>
      <c r="O60" s="37">
        <f t="shared" si="11"/>
        <v>57.855769074041682</v>
      </c>
      <c r="P60" s="46"/>
      <c r="Q60" s="36">
        <v>67</v>
      </c>
      <c r="R60" s="38">
        <f t="shared" si="9"/>
        <v>124.95914254899351</v>
      </c>
      <c r="T60" s="38">
        <v>1</v>
      </c>
      <c r="U60" s="39">
        <v>4</v>
      </c>
    </row>
    <row r="61">
      <c r="A61" s="40" t="s">
        <v>66</v>
      </c>
      <c r="B61" s="27">
        <v>4</v>
      </c>
      <c r="C61" s="24">
        <v>1</v>
      </c>
      <c r="D61" s="24">
        <v>2</v>
      </c>
      <c r="E61" s="24">
        <v>2.2999999999999998</v>
      </c>
      <c r="F61" s="24">
        <f t="shared" si="6"/>
        <v>2.3913043478260874</v>
      </c>
      <c r="G61" s="24">
        <v>400</v>
      </c>
      <c r="H61" s="24">
        <f t="shared" si="7"/>
        <v>12.804134746016567</v>
      </c>
      <c r="I61" s="25">
        <f t="shared" si="8"/>
        <v>1.0064177362893816</v>
      </c>
      <c r="K61" s="27">
        <v>50</v>
      </c>
      <c r="L61" s="24">
        <v>0</v>
      </c>
      <c r="M61" s="24">
        <v>0.059999999999999998</v>
      </c>
      <c r="N61" s="24">
        <f t="shared" si="10"/>
        <v>50</v>
      </c>
      <c r="O61" s="25">
        <f t="shared" si="11"/>
        <v>9.0796875508540005</v>
      </c>
      <c r="P61" s="46"/>
      <c r="Q61" s="27">
        <v>15</v>
      </c>
      <c r="R61" s="34">
        <f t="shared" si="9"/>
        <v>29.696426353373042</v>
      </c>
      <c r="T61" s="34">
        <v>1</v>
      </c>
      <c r="U61" s="30">
        <v>2</v>
      </c>
    </row>
    <row r="62">
      <c r="A62" s="40" t="s">
        <v>67</v>
      </c>
      <c r="B62" s="33">
        <v>6</v>
      </c>
      <c r="C62" s="26">
        <v>1</v>
      </c>
      <c r="D62" s="26">
        <v>3</v>
      </c>
      <c r="E62" s="26">
        <v>1.7</v>
      </c>
      <c r="F62" s="26">
        <f t="shared" si="6"/>
        <v>4.7058823529411766</v>
      </c>
      <c r="G62" s="26">
        <v>450</v>
      </c>
      <c r="H62" s="26">
        <f t="shared" si="7"/>
        <v>25.197441639219765</v>
      </c>
      <c r="I62" s="31">
        <f t="shared" si="8"/>
        <v>1.0143198090692125</v>
      </c>
      <c r="K62" s="33">
        <v>90</v>
      </c>
      <c r="L62" s="26">
        <v>0</v>
      </c>
      <c r="M62" s="26">
        <v>0.059999999999999998</v>
      </c>
      <c r="N62" s="26">
        <f t="shared" si="10"/>
        <v>90</v>
      </c>
      <c r="O62" s="31">
        <f t="shared" si="11"/>
        <v>16.343437591537199</v>
      </c>
      <c r="P62" s="46"/>
      <c r="Q62" s="33">
        <v>32</v>
      </c>
      <c r="R62" s="34">
        <f t="shared" si="9"/>
        <v>59.675176464098733</v>
      </c>
      <c r="T62" s="34">
        <v>2</v>
      </c>
      <c r="U62" s="30">
        <v>3</v>
      </c>
    </row>
    <row r="63">
      <c r="A63" s="40" t="s">
        <v>68</v>
      </c>
      <c r="B63" s="36">
        <v>7</v>
      </c>
      <c r="C63" s="35">
        <v>1</v>
      </c>
      <c r="D63" s="35">
        <v>2</v>
      </c>
      <c r="E63" s="35">
        <v>1.3999999999999999</v>
      </c>
      <c r="F63" s="35">
        <f t="shared" si="6"/>
        <v>6.0714285714285721</v>
      </c>
      <c r="G63" s="35">
        <v>450</v>
      </c>
      <c r="H63" s="35">
        <f t="shared" si="7"/>
        <v>32.509199257743361</v>
      </c>
      <c r="I63" s="37">
        <f t="shared" si="8"/>
        <v>1.018552200800291</v>
      </c>
      <c r="K63" s="36">
        <v>90</v>
      </c>
      <c r="L63" s="35">
        <v>0</v>
      </c>
      <c r="M63" s="35">
        <v>0.059999999999999998</v>
      </c>
      <c r="N63" s="35">
        <f t="shared" si="10"/>
        <v>90</v>
      </c>
      <c r="O63" s="37">
        <f t="shared" si="11"/>
        <v>16.343437591537199</v>
      </c>
      <c r="P63" s="46"/>
      <c r="Q63" s="36">
        <v>37</v>
      </c>
      <c r="R63" s="38">
        <f t="shared" si="9"/>
        <v>69.956313765874299</v>
      </c>
      <c r="T63" s="38">
        <v>3</v>
      </c>
      <c r="U63" s="39">
        <v>3</v>
      </c>
    </row>
    <row r="64">
      <c r="A64" s="40" t="s">
        <v>69</v>
      </c>
      <c r="B64" s="27">
        <v>19</v>
      </c>
      <c r="C64" s="24">
        <v>1</v>
      </c>
      <c r="D64" s="24">
        <v>6</v>
      </c>
      <c r="E64" s="24">
        <v>1.95</v>
      </c>
      <c r="F64" s="24">
        <f t="shared" si="6"/>
        <v>11.538461538461538</v>
      </c>
      <c r="G64" s="24"/>
      <c r="H64" s="24">
        <f t="shared" si="7"/>
        <v>61.782188634625378</v>
      </c>
      <c r="I64" s="25">
        <v>1</v>
      </c>
      <c r="K64" s="27">
        <v>230</v>
      </c>
      <c r="L64" s="24">
        <v>3</v>
      </c>
      <c r="M64" s="24">
        <v>0.059999999999999998</v>
      </c>
      <c r="N64" s="24">
        <f t="shared" si="10"/>
        <v>271.39999999999998</v>
      </c>
      <c r="O64" s="25">
        <f t="shared" si="11"/>
        <v>49.284544026035512</v>
      </c>
      <c r="P64" s="46"/>
      <c r="Q64" s="27">
        <v>14</v>
      </c>
      <c r="R64" s="34">
        <f t="shared" si="9"/>
        <v>100.05338612852871</v>
      </c>
      <c r="T64" s="34">
        <v>3</v>
      </c>
      <c r="U64" s="30">
        <v>4</v>
      </c>
    </row>
    <row r="65">
      <c r="A65" s="40" t="s">
        <v>70</v>
      </c>
      <c r="B65" s="33">
        <v>23</v>
      </c>
      <c r="C65" s="26">
        <v>1</v>
      </c>
      <c r="D65" s="26">
        <v>6</v>
      </c>
      <c r="E65" s="26">
        <v>1.6499999999999999</v>
      </c>
      <c r="F65" s="26">
        <f t="shared" si="6"/>
        <v>16.060606060606062</v>
      </c>
      <c r="G65" s="26"/>
      <c r="H65" s="26">
        <f t="shared" si="7"/>
        <v>85.995814079306854</v>
      </c>
      <c r="I65" s="31">
        <f t="shared" si="8"/>
        <v>1</v>
      </c>
      <c r="K65" s="33">
        <v>270</v>
      </c>
      <c r="L65" s="26">
        <v>3</v>
      </c>
      <c r="M65" s="26">
        <v>0.059999999999999998</v>
      </c>
      <c r="N65" s="26">
        <f t="shared" si="10"/>
        <v>318.59999999999997</v>
      </c>
      <c r="O65" s="31">
        <f t="shared" si="11"/>
        <v>57.855769074041682</v>
      </c>
      <c r="P65" s="46"/>
      <c r="Q65" s="33">
        <v>44</v>
      </c>
      <c r="R65" s="34">
        <f t="shared" si="9"/>
        <v>150.28126652267883</v>
      </c>
      <c r="T65" s="34">
        <v>5</v>
      </c>
      <c r="U65" s="30">
        <v>2</v>
      </c>
    </row>
    <row r="66">
      <c r="A66" s="40" t="s">
        <v>71</v>
      </c>
      <c r="B66" s="36">
        <v>19</v>
      </c>
      <c r="C66" s="35">
        <v>1</v>
      </c>
      <c r="D66" s="35">
        <v>6</v>
      </c>
      <c r="E66" s="35">
        <v>1.8</v>
      </c>
      <c r="F66" s="35">
        <f t="shared" si="6"/>
        <v>12.5</v>
      </c>
      <c r="G66" s="35">
        <v>470</v>
      </c>
      <c r="H66" s="35">
        <f t="shared" si="7"/>
        <v>66.930704354177493</v>
      </c>
      <c r="I66" s="37">
        <f t="shared" si="8"/>
        <v>1.0407632263660018</v>
      </c>
      <c r="K66" s="36">
        <v>200</v>
      </c>
      <c r="L66" s="35">
        <v>3</v>
      </c>
      <c r="M66" s="35">
        <v>0.059999999999999998</v>
      </c>
      <c r="N66" s="35">
        <f t="shared" si="10"/>
        <v>236</v>
      </c>
      <c r="O66" s="37">
        <f t="shared" si="11"/>
        <v>42.856125240030877</v>
      </c>
      <c r="P66" s="46"/>
      <c r="Q66" s="36">
        <v>40</v>
      </c>
      <c r="R66" s="38">
        <f t="shared" si="9"/>
        <v>124.71409922848227</v>
      </c>
      <c r="T66" s="38">
        <v>4</v>
      </c>
      <c r="U66" s="39">
        <v>3</v>
      </c>
    </row>
    <row r="67">
      <c r="A67" s="40" t="s">
        <v>72</v>
      </c>
      <c r="B67" s="33">
        <v>33</v>
      </c>
      <c r="C67" s="26">
        <v>1</v>
      </c>
      <c r="D67" s="26">
        <v>6</v>
      </c>
      <c r="E67" s="26">
        <v>1.8999999999999999</v>
      </c>
      <c r="F67" s="26">
        <f t="shared" si="6"/>
        <v>19.210526315789476</v>
      </c>
      <c r="G67" s="26">
        <v>700</v>
      </c>
      <c r="H67" s="26">
        <f t="shared" si="7"/>
        <v>102.86192458642016</v>
      </c>
      <c r="I67" s="31">
        <f t="shared" si="8"/>
        <v>1.0984775486606282</v>
      </c>
      <c r="K67" s="33">
        <v>190</v>
      </c>
      <c r="L67" s="26">
        <v>2</v>
      </c>
      <c r="M67" s="26">
        <v>0.059999999999999998</v>
      </c>
      <c r="N67" s="26">
        <f t="shared" si="10"/>
        <v>212.80000000000001</v>
      </c>
      <c r="O67" s="31">
        <f t="shared" si="11"/>
        <v>38.643150216434627</v>
      </c>
      <c r="P67" s="46"/>
      <c r="Q67" s="33">
        <v>52</v>
      </c>
      <c r="R67" s="34">
        <f t="shared" si="9"/>
        <v>170.04878417826512</v>
      </c>
      <c r="T67" s="34">
        <v>5</v>
      </c>
      <c r="U67" s="30">
        <v>5</v>
      </c>
    </row>
    <row r="68">
      <c r="A68" s="40" t="s">
        <v>73</v>
      </c>
      <c r="B68" s="33">
        <v>22</v>
      </c>
      <c r="C68" s="26">
        <v>1</v>
      </c>
      <c r="D68" s="26">
        <v>5</v>
      </c>
      <c r="E68" s="26">
        <v>1.8799999999999999</v>
      </c>
      <c r="F68" s="26">
        <f t="shared" si="6"/>
        <v>13.297872340425533</v>
      </c>
      <c r="G68" s="26"/>
      <c r="H68" s="26">
        <f t="shared" si="7"/>
        <v>71.202876972529253</v>
      </c>
      <c r="I68" s="31">
        <f t="shared" si="8"/>
        <v>1</v>
      </c>
      <c r="K68" s="33">
        <v>700</v>
      </c>
      <c r="L68" s="26">
        <v>5</v>
      </c>
      <c r="M68" s="26">
        <v>0.059999999999999998</v>
      </c>
      <c r="N68" s="26">
        <f t="shared" si="10"/>
        <v>910</v>
      </c>
      <c r="O68" s="31">
        <f t="shared" si="11"/>
        <v>165.2503134255428</v>
      </c>
      <c r="P68" s="46"/>
      <c r="Q68" s="33">
        <v>139</v>
      </c>
      <c r="R68" s="34">
        <f t="shared" si="9"/>
        <v>300.36255231845763</v>
      </c>
      <c r="T68" s="34">
        <v>6</v>
      </c>
      <c r="U68" s="30">
        <v>6</v>
      </c>
    </row>
    <row r="69">
      <c r="A69" s="40" t="s">
        <v>74</v>
      </c>
      <c r="B69" s="36">
        <v>24</v>
      </c>
      <c r="C69" s="35">
        <v>1</v>
      </c>
      <c r="D69" s="35">
        <v>5</v>
      </c>
      <c r="E69" s="35">
        <v>1.3500000000000001</v>
      </c>
      <c r="F69" s="35">
        <f t="shared" si="6"/>
        <v>20</v>
      </c>
      <c r="G69" s="35"/>
      <c r="H69" s="35">
        <f t="shared" si="7"/>
        <v>107.08912696668399</v>
      </c>
      <c r="I69" s="37">
        <v>1</v>
      </c>
      <c r="K69" s="36">
        <v>775</v>
      </c>
      <c r="L69" s="35">
        <v>2</v>
      </c>
      <c r="M69" s="35">
        <v>0.059999999999999998</v>
      </c>
      <c r="N69" s="35">
        <f t="shared" si="10"/>
        <v>868.00000000000011</v>
      </c>
      <c r="O69" s="37">
        <f t="shared" si="11"/>
        <v>157.62337588282546</v>
      </c>
      <c r="P69" s="46"/>
      <c r="Q69" s="36">
        <v>185</v>
      </c>
      <c r="R69" s="38">
        <f t="shared" si="9"/>
        <v>359.77000227960758</v>
      </c>
      <c r="T69" s="38">
        <v>7</v>
      </c>
      <c r="U69" s="39">
        <v>2</v>
      </c>
    </row>
    <row r="70">
      <c r="O70" s="26"/>
      <c r="P70" s="46"/>
      <c r="T70" s="43"/>
    </row>
    <row r="71">
      <c r="T71" s="43"/>
    </row>
    <row r="72">
      <c r="T72" s="43"/>
    </row>
    <row r="73">
      <c r="A73" s="2"/>
      <c r="B73" s="3"/>
      <c r="C73" s="4"/>
      <c r="D73" s="4"/>
      <c r="E73" s="4"/>
      <c r="F73" s="4"/>
      <c r="G73" s="4"/>
      <c r="H73" s="4"/>
      <c r="I73" s="5"/>
      <c r="K73" s="44"/>
      <c r="L73" s="44"/>
      <c r="M73" s="44"/>
      <c r="N73" s="44"/>
      <c r="O73" s="44"/>
      <c r="P73" s="2"/>
      <c r="Q73" s="10"/>
      <c r="R73" s="11"/>
      <c r="T73" s="12"/>
      <c r="U73" s="45"/>
    </row>
    <row r="74" ht="16.5">
      <c r="A74" s="14" t="s">
        <v>75</v>
      </c>
      <c r="B74" s="15" t="s">
        <v>1</v>
      </c>
      <c r="C74" s="16" t="s">
        <v>2</v>
      </c>
      <c r="D74" s="16" t="s">
        <v>3</v>
      </c>
      <c r="E74" s="16" t="s">
        <v>4</v>
      </c>
      <c r="F74" s="16" t="s">
        <v>5</v>
      </c>
      <c r="G74" s="16" t="s">
        <v>6</v>
      </c>
      <c r="H74" s="17" t="s">
        <v>7</v>
      </c>
      <c r="I74" s="17" t="s">
        <v>8</v>
      </c>
      <c r="K74" s="16" t="s">
        <v>9</v>
      </c>
      <c r="L74" s="16" t="s">
        <v>10</v>
      </c>
      <c r="M74" s="16" t="s">
        <v>11</v>
      </c>
      <c r="N74" s="16" t="s">
        <v>12</v>
      </c>
      <c r="O74" s="17" t="s">
        <v>13</v>
      </c>
      <c r="P74" s="2"/>
      <c r="Q74" s="17" t="s">
        <v>14</v>
      </c>
      <c r="R74" s="19" t="s">
        <v>15</v>
      </c>
      <c r="T74" s="20" t="s">
        <v>16</v>
      </c>
      <c r="U74" s="20" t="s">
        <v>17</v>
      </c>
    </row>
    <row r="75">
      <c r="A75" s="2"/>
      <c r="B75" s="2"/>
      <c r="C75" s="2"/>
      <c r="D75" s="2"/>
      <c r="E75" s="2"/>
      <c r="F75" s="2"/>
      <c r="G75" s="2"/>
      <c r="H75" s="2"/>
      <c r="I75" s="2"/>
      <c r="K75" s="2"/>
      <c r="L75" s="2"/>
      <c r="M75" s="2"/>
      <c r="N75" s="2"/>
      <c r="O75" s="2"/>
      <c r="P75" s="2"/>
      <c r="Q75" s="2"/>
      <c r="R75" s="21"/>
      <c r="T75" s="26"/>
      <c r="U75" s="22"/>
    </row>
    <row r="76">
      <c r="A76" s="40" t="s">
        <v>76</v>
      </c>
      <c r="B76" s="27">
        <v>9</v>
      </c>
      <c r="C76" s="24">
        <v>1</v>
      </c>
      <c r="D76" s="24">
        <v>3</v>
      </c>
      <c r="E76" s="24">
        <v>1.6200000000000001</v>
      </c>
      <c r="F76" s="24">
        <f t="shared" ref="F74:F93" si="12">(2*B76+C76+D76)/(E76*2)</f>
        <v>6.7901234567901234</v>
      </c>
      <c r="G76" s="24">
        <v>500</v>
      </c>
      <c r="H76" s="24">
        <f t="shared" ref="H74:H93" si="13">F76*5.3544563483342</f>
        <v>36.357419649182837</v>
      </c>
      <c r="I76" s="25">
        <f t="shared" ref="I74:I92" si="14">(500/F76)/((500/F76)-(G76/300))</f>
        <v>1.0231578947368423</v>
      </c>
      <c r="K76" s="27">
        <v>55</v>
      </c>
      <c r="L76" s="24">
        <v>0</v>
      </c>
      <c r="M76" s="24">
        <v>0.059999999999999998</v>
      </c>
      <c r="N76" s="24">
        <f t="shared" si="10"/>
        <v>55</v>
      </c>
      <c r="O76" s="25">
        <f t="shared" si="11"/>
        <v>9.9876563059393995</v>
      </c>
      <c r="P76" s="26"/>
      <c r="Q76" s="27">
        <v>3</v>
      </c>
      <c r="R76" s="28">
        <f t="shared" ref="R74:R93" si="15">($H76+$O76+$Q76)*$I76*0.8</f>
        <v>40.390243223897961</v>
      </c>
      <c r="T76" s="28">
        <v>2</v>
      </c>
      <c r="U76" s="30">
        <v>2</v>
      </c>
    </row>
    <row r="77">
      <c r="A77" s="40" t="s">
        <v>77</v>
      </c>
      <c r="B77" s="33">
        <v>17</v>
      </c>
      <c r="C77" s="26">
        <v>1</v>
      </c>
      <c r="D77" s="26">
        <v>3</v>
      </c>
      <c r="E77" s="26">
        <v>1.5700000000000001</v>
      </c>
      <c r="F77" s="26">
        <f t="shared" si="12"/>
        <v>12.101910828025478</v>
      </c>
      <c r="G77" s="26">
        <v>800</v>
      </c>
      <c r="H77" s="26">
        <f t="shared" si="13"/>
        <v>64.799153260095409</v>
      </c>
      <c r="I77" s="31">
        <f t="shared" si="14"/>
        <v>1.0689968225147526</v>
      </c>
      <c r="K77" s="33">
        <v>75</v>
      </c>
      <c r="L77" s="26">
        <v>0</v>
      </c>
      <c r="M77" s="26">
        <v>0.059999999999999998</v>
      </c>
      <c r="N77" s="26">
        <f t="shared" si="10"/>
        <v>75</v>
      </c>
      <c r="O77" s="31">
        <f t="shared" si="11"/>
        <v>13.619531326281001</v>
      </c>
      <c r="P77" s="26"/>
      <c r="Q77" s="33">
        <v>4</v>
      </c>
      <c r="R77" s="34">
        <f t="shared" si="15"/>
        <v>70.484249550945606</v>
      </c>
      <c r="T77" s="34">
        <v>3</v>
      </c>
      <c r="U77" s="30">
        <v>1</v>
      </c>
    </row>
    <row r="78">
      <c r="A78" s="40" t="s">
        <v>78</v>
      </c>
      <c r="B78" s="33">
        <v>14</v>
      </c>
      <c r="C78" s="26">
        <v>1</v>
      </c>
      <c r="D78" s="26">
        <v>4</v>
      </c>
      <c r="E78" s="26">
        <v>1.6200000000000001</v>
      </c>
      <c r="F78" s="26">
        <f t="shared" si="12"/>
        <v>10.185185185185185</v>
      </c>
      <c r="G78" s="26">
        <v>225</v>
      </c>
      <c r="H78" s="26">
        <f t="shared" si="13"/>
        <v>54.536129473774253</v>
      </c>
      <c r="I78" s="31">
        <f t="shared" si="14"/>
        <v>1.0155148095909732</v>
      </c>
      <c r="K78" s="36">
        <v>220</v>
      </c>
      <c r="L78" s="35">
        <v>1</v>
      </c>
      <c r="M78" s="35">
        <v>0.059999999999999998</v>
      </c>
      <c r="N78" s="35">
        <f t="shared" si="10"/>
        <v>233.20000000000002</v>
      </c>
      <c r="O78" s="37">
        <f t="shared" si="11"/>
        <v>42.347662737183057</v>
      </c>
      <c r="P78" s="26"/>
      <c r="Q78" s="36">
        <v>26</v>
      </c>
      <c r="R78" s="38">
        <f t="shared" si="15"/>
        <v>99.832248679141628</v>
      </c>
      <c r="T78" s="38">
        <v>3</v>
      </c>
      <c r="U78" s="39">
        <v>0</v>
      </c>
    </row>
    <row r="79">
      <c r="A79" s="40" t="s">
        <v>79</v>
      </c>
      <c r="B79" s="27">
        <v>10</v>
      </c>
      <c r="C79" s="24">
        <v>1</v>
      </c>
      <c r="D79" s="24">
        <v>3</v>
      </c>
      <c r="E79" s="24">
        <v>1.8</v>
      </c>
      <c r="F79" s="24">
        <f t="shared" si="12"/>
        <v>6.6666666666666661</v>
      </c>
      <c r="G79" s="24"/>
      <c r="H79" s="24">
        <f t="shared" si="13"/>
        <v>35.696375655561326</v>
      </c>
      <c r="I79" s="25">
        <f t="shared" si="14"/>
        <v>1</v>
      </c>
      <c r="K79" s="33">
        <v>125</v>
      </c>
      <c r="L79" s="26">
        <v>1</v>
      </c>
      <c r="M79" s="26">
        <v>0.059999999999999998</v>
      </c>
      <c r="N79" s="26">
        <f t="shared" si="10"/>
        <v>132.5</v>
      </c>
      <c r="O79" s="31">
        <f t="shared" si="11"/>
        <v>24.061172009763101</v>
      </c>
      <c r="Q79" s="33">
        <v>3</v>
      </c>
      <c r="R79" s="34">
        <f t="shared" si="15"/>
        <v>50.206038132259543</v>
      </c>
      <c r="T79" s="34">
        <v>2</v>
      </c>
      <c r="U79" s="30">
        <v>0</v>
      </c>
    </row>
    <row r="80">
      <c r="A80" s="40" t="s">
        <v>80</v>
      </c>
      <c r="B80" s="33">
        <v>17</v>
      </c>
      <c r="C80" s="26">
        <v>1</v>
      </c>
      <c r="D80" s="26">
        <v>3</v>
      </c>
      <c r="E80" s="26">
        <v>1.7</v>
      </c>
      <c r="F80" s="26">
        <f t="shared" si="12"/>
        <v>11.176470588235295</v>
      </c>
      <c r="G80" s="26"/>
      <c r="H80" s="26">
        <f t="shared" si="13"/>
        <v>59.843923893146943</v>
      </c>
      <c r="I80" s="31">
        <f t="shared" si="14"/>
        <v>1</v>
      </c>
      <c r="K80" s="33">
        <v>230</v>
      </c>
      <c r="L80" s="26">
        <v>3</v>
      </c>
      <c r="M80" s="26">
        <v>0.059999999999999998</v>
      </c>
      <c r="N80" s="26">
        <f t="shared" si="10"/>
        <v>271.39999999999998</v>
      </c>
      <c r="O80" s="31">
        <f t="shared" si="11"/>
        <v>49.284544026035512</v>
      </c>
      <c r="Q80" s="33">
        <v>19</v>
      </c>
      <c r="R80" s="34">
        <f t="shared" si="15"/>
        <v>102.50277433534598</v>
      </c>
      <c r="T80" s="34">
        <v>4</v>
      </c>
      <c r="U80" s="30">
        <v>4</v>
      </c>
    </row>
    <row r="81">
      <c r="A81" s="40" t="s">
        <v>81</v>
      </c>
      <c r="B81" s="36">
        <v>12</v>
      </c>
      <c r="C81" s="35">
        <v>1</v>
      </c>
      <c r="D81" s="35">
        <v>3</v>
      </c>
      <c r="E81" s="35">
        <v>1.7</v>
      </c>
      <c r="F81" s="35">
        <f t="shared" si="12"/>
        <v>8.2352941176470598</v>
      </c>
      <c r="G81" s="35"/>
      <c r="H81" s="35">
        <f t="shared" si="13"/>
        <v>44.095522868634589</v>
      </c>
      <c r="I81" s="37">
        <f t="shared" si="14"/>
        <v>1</v>
      </c>
      <c r="K81" s="36">
        <v>220</v>
      </c>
      <c r="L81" s="35">
        <v>3</v>
      </c>
      <c r="M81" s="35">
        <v>0.059999999999999998</v>
      </c>
      <c r="N81" s="35">
        <f t="shared" si="10"/>
        <v>259.59999999999997</v>
      </c>
      <c r="O81" s="37">
        <f t="shared" si="11"/>
        <v>47.141737764033962</v>
      </c>
      <c r="Q81" s="36">
        <v>36</v>
      </c>
      <c r="R81" s="38">
        <f t="shared" si="15"/>
        <v>101.78980850613485</v>
      </c>
      <c r="T81" s="38">
        <v>4</v>
      </c>
      <c r="U81" s="39">
        <v>4</v>
      </c>
    </row>
    <row r="82">
      <c r="A82" s="40" t="s">
        <v>82</v>
      </c>
      <c r="B82" s="33">
        <v>7</v>
      </c>
      <c r="C82" s="26">
        <v>1</v>
      </c>
      <c r="D82" s="26">
        <v>2</v>
      </c>
      <c r="E82" s="26">
        <v>2.1499999999999999</v>
      </c>
      <c r="F82" s="26">
        <f t="shared" si="12"/>
        <v>3.9534883720930236</v>
      </c>
      <c r="G82" s="26"/>
      <c r="H82" s="26">
        <f t="shared" si="13"/>
        <v>21.168780912018931</v>
      </c>
      <c r="I82" s="31">
        <v>1</v>
      </c>
      <c r="K82" s="33">
        <v>110</v>
      </c>
      <c r="L82" s="26">
        <v>0</v>
      </c>
      <c r="M82" s="26">
        <v>0.059999999999999998</v>
      </c>
      <c r="N82" s="26">
        <f t="shared" si="10"/>
        <v>110</v>
      </c>
      <c r="O82" s="31">
        <f t="shared" si="11"/>
        <v>19.975312611878799</v>
      </c>
      <c r="Q82" s="33">
        <v>15</v>
      </c>
      <c r="R82" s="34">
        <f t="shared" si="15"/>
        <v>44.915274819118189</v>
      </c>
      <c r="T82" s="34">
        <v>2</v>
      </c>
      <c r="U82" s="30">
        <v>0</v>
      </c>
    </row>
    <row r="83">
      <c r="A83" s="40" t="s">
        <v>83</v>
      </c>
      <c r="B83" s="33">
        <v>31</v>
      </c>
      <c r="C83" s="26">
        <v>1</v>
      </c>
      <c r="D83" s="26">
        <v>6</v>
      </c>
      <c r="E83" s="26">
        <v>2.1499999999999999</v>
      </c>
      <c r="F83" s="26">
        <f t="shared" si="12"/>
        <v>16.046511627906977</v>
      </c>
      <c r="G83" s="26"/>
      <c r="H83" s="26">
        <f t="shared" si="13"/>
        <v>85.92034605466506</v>
      </c>
      <c r="I83" s="31">
        <v>1</v>
      </c>
      <c r="K83" s="33">
        <v>250</v>
      </c>
      <c r="L83" s="26">
        <v>3</v>
      </c>
      <c r="M83" s="26">
        <v>0.059999999999999998</v>
      </c>
      <c r="N83" s="26">
        <f t="shared" si="10"/>
        <v>295</v>
      </c>
      <c r="O83" s="31">
        <f t="shared" si="11"/>
        <v>53.570156550038604</v>
      </c>
      <c r="P83" s="2"/>
      <c r="Q83" s="33">
        <v>17</v>
      </c>
      <c r="R83" s="34">
        <f t="shared" si="15"/>
        <v>125.19240208376294</v>
      </c>
      <c r="T83" s="34">
        <v>4</v>
      </c>
      <c r="U83" s="30">
        <v>5</v>
      </c>
    </row>
    <row r="84">
      <c r="A84" s="40" t="s">
        <v>84</v>
      </c>
      <c r="B84" s="33">
        <v>15</v>
      </c>
      <c r="C84" s="26">
        <v>1</v>
      </c>
      <c r="D84" s="26">
        <v>4</v>
      </c>
      <c r="E84" s="26">
        <v>1.95</v>
      </c>
      <c r="F84" s="26">
        <f t="shared" si="12"/>
        <v>8.9743589743589745</v>
      </c>
      <c r="G84" s="26"/>
      <c r="H84" s="26">
        <f t="shared" si="13"/>
        <v>48.052813382486406</v>
      </c>
      <c r="I84" s="31">
        <v>1</v>
      </c>
      <c r="K84" s="36">
        <v>225</v>
      </c>
      <c r="L84" s="35">
        <v>4</v>
      </c>
      <c r="M84" s="35">
        <v>0.059999999999999998</v>
      </c>
      <c r="N84" s="35">
        <f t="shared" si="10"/>
        <v>279</v>
      </c>
      <c r="O84" s="37">
        <f t="shared" si="11"/>
        <v>50.664656533765317</v>
      </c>
      <c r="Q84" s="36">
        <v>33</v>
      </c>
      <c r="R84" s="38">
        <f t="shared" si="15"/>
        <v>105.37397593300139</v>
      </c>
      <c r="T84" s="38">
        <v>3</v>
      </c>
      <c r="U84" s="39">
        <v>0</v>
      </c>
    </row>
    <row r="85">
      <c r="A85" s="40" t="s">
        <v>85</v>
      </c>
      <c r="B85" s="27">
        <v>8</v>
      </c>
      <c r="C85" s="24">
        <v>1</v>
      </c>
      <c r="D85" s="24">
        <v>2</v>
      </c>
      <c r="E85" s="24">
        <v>1.78</v>
      </c>
      <c r="F85" s="24">
        <f t="shared" si="12"/>
        <v>5.3370786516853927</v>
      </c>
      <c r="G85" s="24">
        <v>630</v>
      </c>
      <c r="H85" s="24">
        <f t="shared" si="13"/>
        <v>28.577154668075782</v>
      </c>
      <c r="I85" s="25">
        <f t="shared" si="14"/>
        <v>1.0229297166829492</v>
      </c>
      <c r="K85" s="33">
        <v>80</v>
      </c>
      <c r="L85" s="26">
        <v>0</v>
      </c>
      <c r="M85" s="26">
        <v>0.059999999999999998</v>
      </c>
      <c r="N85" s="26">
        <f t="shared" si="10"/>
        <v>80</v>
      </c>
      <c r="O85" s="31">
        <f t="shared" si="11"/>
        <v>14.5275000813664</v>
      </c>
      <c r="Q85" s="33">
        <v>30</v>
      </c>
      <c r="R85" s="34">
        <f t="shared" si="15"/>
        <v>59.824739016841363</v>
      </c>
      <c r="T85" s="34">
        <v>1</v>
      </c>
      <c r="U85" s="30">
        <v>3</v>
      </c>
    </row>
    <row r="86">
      <c r="A86" s="40" t="s">
        <v>86</v>
      </c>
      <c r="B86" s="33">
        <v>13</v>
      </c>
      <c r="C86" s="26">
        <v>1</v>
      </c>
      <c r="D86" s="26">
        <v>3</v>
      </c>
      <c r="E86" s="26">
        <v>1.75</v>
      </c>
      <c r="F86" s="26">
        <f t="shared" si="12"/>
        <v>8.5714285714285712</v>
      </c>
      <c r="G86" s="26">
        <v>700</v>
      </c>
      <c r="H86" s="26">
        <f t="shared" si="13"/>
        <v>45.895340128578852</v>
      </c>
      <c r="I86" s="31">
        <f t="shared" si="14"/>
        <v>1.0416666666666667</v>
      </c>
      <c r="K86" s="33">
        <v>120</v>
      </c>
      <c r="L86" s="26">
        <v>0</v>
      </c>
      <c r="M86" s="26">
        <v>0.059999999999999998</v>
      </c>
      <c r="N86" s="26">
        <f t="shared" si="10"/>
        <v>120</v>
      </c>
      <c r="O86" s="31">
        <f t="shared" si="11"/>
        <v>21.7912501220496</v>
      </c>
      <c r="Q86" s="33">
        <v>40</v>
      </c>
      <c r="R86" s="34">
        <f t="shared" si="15"/>
        <v>89.738825208857065</v>
      </c>
      <c r="T86" s="34">
        <v>2</v>
      </c>
      <c r="U86" s="30">
        <v>3</v>
      </c>
    </row>
    <row r="87">
      <c r="A87" s="40" t="s">
        <v>87</v>
      </c>
      <c r="B87" s="36">
        <v>13</v>
      </c>
      <c r="C87" s="35">
        <v>1</v>
      </c>
      <c r="D87" s="35">
        <v>3</v>
      </c>
      <c r="E87" s="35">
        <v>1.6000000000000001</v>
      </c>
      <c r="F87" s="35">
        <f t="shared" si="12"/>
        <v>9.375</v>
      </c>
      <c r="G87" s="35">
        <v>630</v>
      </c>
      <c r="H87" s="35">
        <f t="shared" si="13"/>
        <v>50.19802826563312</v>
      </c>
      <c r="I87" s="37">
        <f t="shared" si="14"/>
        <v>1.040988939492518</v>
      </c>
      <c r="K87" s="36">
        <v>130</v>
      </c>
      <c r="L87" s="35">
        <v>0</v>
      </c>
      <c r="M87" s="35">
        <v>0.059999999999999998</v>
      </c>
      <c r="N87" s="35">
        <f t="shared" si="10"/>
        <v>130</v>
      </c>
      <c r="O87" s="37">
        <f t="shared" si="11"/>
        <v>23.607187632220402</v>
      </c>
      <c r="Q87" s="36">
        <v>22</v>
      </c>
      <c r="R87" s="38">
        <f t="shared" si="15"/>
        <v>79.785736076286611</v>
      </c>
      <c r="T87" s="38">
        <v>4</v>
      </c>
      <c r="U87" s="39">
        <v>4</v>
      </c>
    </row>
    <row r="88">
      <c r="A88" s="40" t="s">
        <v>88</v>
      </c>
      <c r="B88" s="33">
        <v>15</v>
      </c>
      <c r="C88" s="26">
        <v>1</v>
      </c>
      <c r="D88" s="26">
        <v>7</v>
      </c>
      <c r="E88" s="26">
        <v>1.8999999999999999</v>
      </c>
      <c r="F88" s="26">
        <f t="shared" si="12"/>
        <v>10</v>
      </c>
      <c r="G88" s="24">
        <v>515</v>
      </c>
      <c r="H88" s="26">
        <f t="shared" si="13"/>
        <v>53.544563483341996</v>
      </c>
      <c r="I88" s="25">
        <f t="shared" si="14"/>
        <v>1.0355540214014498</v>
      </c>
      <c r="K88" s="33">
        <v>200</v>
      </c>
      <c r="L88" s="26">
        <v>3</v>
      </c>
      <c r="M88" s="26">
        <v>0.059999999999999998</v>
      </c>
      <c r="N88" s="26">
        <f t="shared" si="10"/>
        <v>236</v>
      </c>
      <c r="O88" s="31">
        <f t="shared" si="11"/>
        <v>42.856125240030877</v>
      </c>
      <c r="Q88" s="33">
        <v>18</v>
      </c>
      <c r="R88" s="34">
        <f t="shared" si="15"/>
        <v>94.774474606867415</v>
      </c>
      <c r="T88" s="34">
        <v>3</v>
      </c>
      <c r="U88" s="30">
        <v>4</v>
      </c>
    </row>
    <row r="89">
      <c r="A89" s="40" t="s">
        <v>89</v>
      </c>
      <c r="B89" s="33">
        <v>21</v>
      </c>
      <c r="C89" s="26">
        <v>1</v>
      </c>
      <c r="D89" s="26">
        <v>3</v>
      </c>
      <c r="E89" s="26">
        <v>1.8999999999999999</v>
      </c>
      <c r="F89" s="26">
        <f t="shared" si="12"/>
        <v>12.105263157894738</v>
      </c>
      <c r="G89" s="26"/>
      <c r="H89" s="26">
        <f t="shared" si="13"/>
        <v>64.817103164045577</v>
      </c>
      <c r="I89" s="31">
        <f t="shared" si="14"/>
        <v>1</v>
      </c>
      <c r="K89" s="33">
        <v>400</v>
      </c>
      <c r="L89" s="26">
        <v>4</v>
      </c>
      <c r="M89" s="26">
        <v>0.059999999999999998</v>
      </c>
      <c r="N89" s="26">
        <f t="shared" si="10"/>
        <v>496</v>
      </c>
      <c r="O89" s="31">
        <f t="shared" si="11"/>
        <v>90.070500504471681</v>
      </c>
      <c r="Q89" s="33">
        <v>51</v>
      </c>
      <c r="R89" s="34">
        <f t="shared" si="15"/>
        <v>164.71008293481384</v>
      </c>
      <c r="T89" s="34">
        <v>3</v>
      </c>
      <c r="U89" s="30">
        <v>5</v>
      </c>
    </row>
    <row r="90">
      <c r="A90" s="40" t="s">
        <v>90</v>
      </c>
      <c r="B90" s="36">
        <v>25</v>
      </c>
      <c r="C90" s="35">
        <v>1</v>
      </c>
      <c r="D90" s="35">
        <v>3</v>
      </c>
      <c r="E90" s="35">
        <v>1.6100000000000001</v>
      </c>
      <c r="F90" s="35">
        <f t="shared" si="12"/>
        <v>16.770186335403725</v>
      </c>
      <c r="G90" s="35">
        <v>600</v>
      </c>
      <c r="H90" s="35">
        <f t="shared" si="13"/>
        <v>89.795230686349925</v>
      </c>
      <c r="I90" s="37">
        <f t="shared" si="14"/>
        <v>1.0719041278295607</v>
      </c>
      <c r="K90" s="36">
        <v>250</v>
      </c>
      <c r="L90" s="35">
        <v>3</v>
      </c>
      <c r="M90" s="35">
        <v>0.059999999999999998</v>
      </c>
      <c r="N90" s="35">
        <f t="shared" si="10"/>
        <v>295</v>
      </c>
      <c r="O90" s="37">
        <f t="shared" si="11"/>
        <v>53.570156550038604</v>
      </c>
      <c r="Q90" s="36">
        <v>166</v>
      </c>
      <c r="R90" s="38">
        <f t="shared" si="15"/>
        <v>265.28802846902028</v>
      </c>
      <c r="T90" s="38">
        <v>5</v>
      </c>
      <c r="U90" s="39">
        <v>6</v>
      </c>
    </row>
    <row r="91">
      <c r="A91" s="40" t="s">
        <v>91</v>
      </c>
      <c r="B91" s="33">
        <v>27</v>
      </c>
      <c r="C91" s="26">
        <v>1</v>
      </c>
      <c r="D91" s="26">
        <v>4</v>
      </c>
      <c r="E91" s="26">
        <v>2.8500000000000001</v>
      </c>
      <c r="F91" s="26">
        <f t="shared" si="12"/>
        <v>10.350877192982455</v>
      </c>
      <c r="G91" s="26"/>
      <c r="H91" s="26">
        <f t="shared" si="13"/>
        <v>55.423320096792587</v>
      </c>
      <c r="I91" s="31">
        <v>1</v>
      </c>
      <c r="K91" s="33">
        <v>250</v>
      </c>
      <c r="L91" s="26">
        <v>3</v>
      </c>
      <c r="M91" s="26">
        <v>0.059999999999999998</v>
      </c>
      <c r="N91" s="26">
        <f t="shared" si="10"/>
        <v>295</v>
      </c>
      <c r="O91" s="31">
        <f t="shared" si="11"/>
        <v>53.570156550038604</v>
      </c>
      <c r="Q91" s="33">
        <v>41</v>
      </c>
      <c r="R91" s="34">
        <f t="shared" si="15"/>
        <v>119.99478131746497</v>
      </c>
      <c r="T91" s="34">
        <v>3</v>
      </c>
      <c r="U91" s="30">
        <v>0</v>
      </c>
    </row>
    <row r="92">
      <c r="A92" s="40" t="s">
        <v>92</v>
      </c>
      <c r="B92" s="33">
        <v>37</v>
      </c>
      <c r="C92" s="26">
        <v>1</v>
      </c>
      <c r="D92" s="26">
        <v>5</v>
      </c>
      <c r="E92" s="26">
        <v>2.5499999999999998</v>
      </c>
      <c r="F92" s="26">
        <f t="shared" si="12"/>
        <v>15.686274509803923</v>
      </c>
      <c r="G92" s="26"/>
      <c r="H92" s="26">
        <f t="shared" si="13"/>
        <v>83.991472130732546</v>
      </c>
      <c r="I92" s="31">
        <f t="shared" si="14"/>
        <v>1</v>
      </c>
      <c r="K92" s="33">
        <v>650</v>
      </c>
      <c r="L92" s="26">
        <v>3</v>
      </c>
      <c r="M92" s="26">
        <v>0.059999999999999998</v>
      </c>
      <c r="N92" s="26">
        <f t="shared" ref="N92:N93" si="16">K92*(L92*M92+1)</f>
        <v>767</v>
      </c>
      <c r="O92" s="31">
        <f t="shared" ref="O92:O93" si="17">N92*0.18159375101708</f>
        <v>139.28240703010036</v>
      </c>
      <c r="Q92" s="33">
        <v>70</v>
      </c>
      <c r="R92" s="34">
        <f t="shared" si="15"/>
        <v>234.61910332866634</v>
      </c>
      <c r="T92" s="34">
        <v>5</v>
      </c>
      <c r="U92" s="30">
        <v>5</v>
      </c>
    </row>
    <row r="93">
      <c r="A93" s="40" t="s">
        <v>93</v>
      </c>
      <c r="B93" s="36">
        <v>18</v>
      </c>
      <c r="C93" s="35">
        <v>1</v>
      </c>
      <c r="D93" s="35">
        <v>4</v>
      </c>
      <c r="E93" s="35">
        <v>2.6499999999999999</v>
      </c>
      <c r="F93" s="35">
        <f t="shared" si="12"/>
        <v>7.7358490566037741</v>
      </c>
      <c r="G93" s="35"/>
      <c r="H93" s="35">
        <f t="shared" si="13"/>
        <v>41.421266090887208</v>
      </c>
      <c r="I93" s="37">
        <v>1</v>
      </c>
      <c r="K93" s="36">
        <v>590</v>
      </c>
      <c r="L93" s="35">
        <v>3</v>
      </c>
      <c r="M93" s="35">
        <v>0.059999999999999998</v>
      </c>
      <c r="N93" s="35">
        <f t="shared" si="16"/>
        <v>696.19999999999993</v>
      </c>
      <c r="O93" s="37">
        <f t="shared" si="17"/>
        <v>126.42556945809109</v>
      </c>
      <c r="Q93" s="36">
        <v>120</v>
      </c>
      <c r="R93" s="38">
        <f t="shared" si="15"/>
        <v>230.27746843918268</v>
      </c>
      <c r="T93" s="38">
        <v>3</v>
      </c>
      <c r="U93" s="39">
        <v>0</v>
      </c>
    </row>
    <row r="94">
      <c r="T94" s="43"/>
    </row>
    <row r="95">
      <c r="F95" s="50"/>
      <c r="G95" s="50"/>
      <c r="T95" s="43"/>
    </row>
    <row r="96">
      <c r="F96" s="50"/>
      <c r="G96" s="50"/>
      <c r="T96" s="43"/>
    </row>
    <row r="97">
      <c r="A97" s="2"/>
      <c r="B97" s="3"/>
      <c r="C97" s="4"/>
      <c r="D97" s="4"/>
      <c r="E97" s="4"/>
      <c r="F97" s="4"/>
      <c r="G97" s="4"/>
      <c r="H97" s="4"/>
      <c r="I97" s="5"/>
      <c r="K97" s="44"/>
      <c r="L97" s="44"/>
      <c r="M97" s="44"/>
      <c r="N97" s="44"/>
      <c r="O97" s="44"/>
      <c r="P97" s="2"/>
      <c r="Q97" s="10"/>
      <c r="R97" s="11"/>
      <c r="T97" s="12"/>
      <c r="U97" s="45"/>
    </row>
    <row r="98" ht="16.5">
      <c r="A98" s="14" t="s">
        <v>94</v>
      </c>
      <c r="B98" s="15" t="s">
        <v>1</v>
      </c>
      <c r="C98" s="16" t="s">
        <v>2</v>
      </c>
      <c r="D98" s="16" t="s">
        <v>3</v>
      </c>
      <c r="E98" s="16" t="s">
        <v>4</v>
      </c>
      <c r="F98" s="16" t="s">
        <v>5</v>
      </c>
      <c r="G98" s="16" t="s">
        <v>6</v>
      </c>
      <c r="H98" s="17" t="s">
        <v>7</v>
      </c>
      <c r="I98" s="17" t="s">
        <v>8</v>
      </c>
      <c r="K98" s="16" t="s">
        <v>9</v>
      </c>
      <c r="L98" s="16" t="s">
        <v>10</v>
      </c>
      <c r="M98" s="16" t="s">
        <v>11</v>
      </c>
      <c r="N98" s="16" t="s">
        <v>12</v>
      </c>
      <c r="O98" s="17" t="s">
        <v>13</v>
      </c>
      <c r="P98" s="2"/>
      <c r="Q98" s="17" t="s">
        <v>14</v>
      </c>
      <c r="R98" s="19" t="s">
        <v>15</v>
      </c>
      <c r="T98" s="20" t="s">
        <v>16</v>
      </c>
      <c r="U98" s="20" t="s">
        <v>17</v>
      </c>
    </row>
    <row r="99">
      <c r="A99" s="2"/>
      <c r="B99" s="2"/>
      <c r="C99" s="2"/>
      <c r="D99" s="2"/>
      <c r="E99" s="2"/>
      <c r="F99" s="2"/>
      <c r="G99" s="2"/>
      <c r="H99" s="2"/>
      <c r="I99" s="2"/>
      <c r="K99" s="2"/>
      <c r="L99" s="2"/>
      <c r="M99" s="2"/>
      <c r="N99" s="2"/>
      <c r="O99" s="2"/>
      <c r="P99" s="2"/>
      <c r="Q99" s="2"/>
      <c r="R99" s="21"/>
      <c r="T99" s="26"/>
      <c r="U99" s="22"/>
    </row>
    <row r="100">
      <c r="A100" s="40" t="s">
        <v>95</v>
      </c>
      <c r="B100" s="27">
        <v>10</v>
      </c>
      <c r="C100" s="24">
        <v>1</v>
      </c>
      <c r="D100" s="24">
        <v>2</v>
      </c>
      <c r="E100" s="24">
        <v>1.77</v>
      </c>
      <c r="F100" s="24">
        <f t="shared" ref="F100:F163" si="18">(2*B100+C100+D100)/(E100*2)</f>
        <v>6.4971751412429377</v>
      </c>
      <c r="G100" s="24"/>
      <c r="H100" s="24">
        <f t="shared" ref="H100:H163" si="19">F100*5.3544563483342</f>
        <v>34.788840681267395</v>
      </c>
      <c r="I100" s="25">
        <f t="shared" ref="I100:I163" si="20">(500/F100)/((500/F100)-(G100/300))</f>
        <v>1</v>
      </c>
      <c r="K100" s="27">
        <v>140</v>
      </c>
      <c r="L100" s="24">
        <v>1</v>
      </c>
      <c r="M100" s="24">
        <v>0.059999999999999998</v>
      </c>
      <c r="N100" s="24">
        <f t="shared" ref="N100:N163" si="21">K100*(L100*M100+1)</f>
        <v>148.40000000000001</v>
      </c>
      <c r="O100" s="25">
        <f t="shared" ref="O100:O163" si="22">N100*0.18159375101708</f>
        <v>26.948512650934674</v>
      </c>
      <c r="P100" s="26"/>
      <c r="Q100" s="27">
        <v>1</v>
      </c>
      <c r="R100" s="28">
        <f t="shared" ref="R100:R141" si="23">($H100+$O100+$Q100)*$I100*0.8</f>
        <v>50.189882665761658</v>
      </c>
      <c r="T100" s="28">
        <v>2</v>
      </c>
      <c r="U100" s="30">
        <v>0</v>
      </c>
    </row>
    <row r="101">
      <c r="A101" s="40" t="s">
        <v>96</v>
      </c>
      <c r="B101" s="33">
        <v>12</v>
      </c>
      <c r="C101" s="26">
        <v>1</v>
      </c>
      <c r="D101" s="26">
        <v>3</v>
      </c>
      <c r="E101" s="26">
        <v>1.77</v>
      </c>
      <c r="F101" s="26">
        <f t="shared" si="18"/>
        <v>7.9096045197740112</v>
      </c>
      <c r="G101" s="26">
        <v>340</v>
      </c>
      <c r="H101" s="26">
        <f t="shared" si="19"/>
        <v>42.351632133716834</v>
      </c>
      <c r="I101" s="31">
        <f t="shared" si="20"/>
        <v>1.0182557336810616</v>
      </c>
      <c r="K101" s="33">
        <v>140</v>
      </c>
      <c r="L101" s="26">
        <v>2</v>
      </c>
      <c r="M101" s="26">
        <v>0.059999999999999998</v>
      </c>
      <c r="N101" s="26">
        <f t="shared" si="21"/>
        <v>156.80000000000001</v>
      </c>
      <c r="O101" s="31">
        <f t="shared" si="22"/>
        <v>28.473900159478145</v>
      </c>
      <c r="P101" s="26"/>
      <c r="Q101" s="33">
        <v>15</v>
      </c>
      <c r="R101" s="34">
        <f t="shared" si="23"/>
        <v>69.913872283019927</v>
      </c>
      <c r="T101" s="34">
        <v>2</v>
      </c>
      <c r="U101" s="30">
        <v>3</v>
      </c>
    </row>
    <row r="102">
      <c r="A102" s="40" t="s">
        <v>97</v>
      </c>
      <c r="B102" s="33">
        <v>17</v>
      </c>
      <c r="C102" s="26">
        <v>1</v>
      </c>
      <c r="D102" s="26">
        <v>4</v>
      </c>
      <c r="E102" s="26">
        <v>1.77</v>
      </c>
      <c r="F102" s="26">
        <f t="shared" si="18"/>
        <v>11.016949152542372</v>
      </c>
      <c r="G102" s="26"/>
      <c r="H102" s="26">
        <f t="shared" si="19"/>
        <v>58.989773329105581</v>
      </c>
      <c r="I102" s="31">
        <f t="shared" si="20"/>
        <v>1</v>
      </c>
      <c r="K102" s="36">
        <v>220</v>
      </c>
      <c r="L102" s="35">
        <v>2</v>
      </c>
      <c r="M102" s="35">
        <v>0.059999999999999998</v>
      </c>
      <c r="N102" s="35">
        <f t="shared" si="21"/>
        <v>246.40000000000003</v>
      </c>
      <c r="O102" s="37">
        <f t="shared" si="22"/>
        <v>44.744700250608517</v>
      </c>
      <c r="P102" s="26"/>
      <c r="Q102" s="36">
        <v>21</v>
      </c>
      <c r="R102" s="38">
        <f t="shared" si="23"/>
        <v>99.787578863771273</v>
      </c>
      <c r="T102" s="38">
        <v>3</v>
      </c>
      <c r="U102" s="39">
        <v>3</v>
      </c>
    </row>
    <row r="103">
      <c r="A103" s="40" t="s">
        <v>98</v>
      </c>
      <c r="B103" s="27">
        <v>11</v>
      </c>
      <c r="C103" s="24">
        <v>1</v>
      </c>
      <c r="D103" s="24">
        <v>3</v>
      </c>
      <c r="E103" s="24">
        <v>1.8200000000000001</v>
      </c>
      <c r="F103" s="24">
        <f t="shared" si="18"/>
        <v>7.1428571428571423</v>
      </c>
      <c r="G103" s="24">
        <v>550</v>
      </c>
      <c r="H103" s="24">
        <f t="shared" si="19"/>
        <v>38.246116773815707</v>
      </c>
      <c r="I103" s="25">
        <f t="shared" si="20"/>
        <v>1.0268948655256722</v>
      </c>
      <c r="K103" s="33">
        <v>125</v>
      </c>
      <c r="L103" s="26">
        <v>2</v>
      </c>
      <c r="M103" s="26">
        <v>0.059999999999999998</v>
      </c>
      <c r="N103" s="26">
        <f t="shared" si="21"/>
        <v>140</v>
      </c>
      <c r="O103" s="31">
        <f t="shared" si="22"/>
        <v>25.4231251423912</v>
      </c>
      <c r="Q103" s="33">
        <v>21</v>
      </c>
      <c r="R103" s="34">
        <f t="shared" si="23"/>
        <v>69.55712783336314</v>
      </c>
      <c r="T103" s="34">
        <v>3</v>
      </c>
      <c r="U103" s="30">
        <v>3</v>
      </c>
    </row>
    <row r="104">
      <c r="A104" s="40" t="s">
        <v>99</v>
      </c>
      <c r="B104" s="33">
        <v>16</v>
      </c>
      <c r="C104" s="26">
        <v>1</v>
      </c>
      <c r="D104" s="26">
        <v>3</v>
      </c>
      <c r="E104" s="26">
        <v>1.45</v>
      </c>
      <c r="F104" s="26">
        <f t="shared" si="18"/>
        <v>12.413793103448276</v>
      </c>
      <c r="G104" s="26">
        <v>420</v>
      </c>
      <c r="H104" s="26">
        <f t="shared" si="19"/>
        <v>66.469113289665927</v>
      </c>
      <c r="I104" s="31">
        <f t="shared" si="20"/>
        <v>1.0360102886539011</v>
      </c>
      <c r="K104" s="33">
        <v>210</v>
      </c>
      <c r="L104" s="26">
        <v>2</v>
      </c>
      <c r="M104" s="26">
        <v>0.059999999999999998</v>
      </c>
      <c r="N104" s="26">
        <f t="shared" si="21"/>
        <v>235.20000000000002</v>
      </c>
      <c r="O104" s="31">
        <f t="shared" si="22"/>
        <v>42.710850239217223</v>
      </c>
      <c r="Q104" s="33">
        <v>156</v>
      </c>
      <c r="R104" s="34">
        <f t="shared" si="23"/>
        <v>219.78333644863139</v>
      </c>
      <c r="T104" s="34">
        <v>3</v>
      </c>
      <c r="U104" s="30">
        <v>6</v>
      </c>
    </row>
    <row r="105">
      <c r="A105" s="40" t="s">
        <v>100</v>
      </c>
      <c r="B105" s="36">
        <v>20</v>
      </c>
      <c r="C105" s="35">
        <v>1</v>
      </c>
      <c r="D105" s="35">
        <v>3</v>
      </c>
      <c r="E105" s="35">
        <v>2</v>
      </c>
      <c r="F105" s="35">
        <f t="shared" si="18"/>
        <v>11</v>
      </c>
      <c r="G105" s="35">
        <v>550</v>
      </c>
      <c r="H105" s="35">
        <f t="shared" si="19"/>
        <v>58.899019831676199</v>
      </c>
      <c r="I105" s="37">
        <f t="shared" si="20"/>
        <v>1.0420284821118444</v>
      </c>
      <c r="K105" s="36">
        <v>125</v>
      </c>
      <c r="L105" s="35">
        <v>2</v>
      </c>
      <c r="M105" s="35">
        <v>0.059999999999999998</v>
      </c>
      <c r="N105" s="35">
        <f t="shared" si="21"/>
        <v>140</v>
      </c>
      <c r="O105" s="37">
        <f t="shared" si="22"/>
        <v>25.4231251423912</v>
      </c>
      <c r="Q105" s="36">
        <v>36</v>
      </c>
      <c r="R105" s="38">
        <f t="shared" si="23"/>
        <v>100.303281673415</v>
      </c>
      <c r="T105" s="38">
        <v>4</v>
      </c>
      <c r="U105" s="39">
        <v>0</v>
      </c>
    </row>
    <row r="106">
      <c r="A106" s="40" t="s">
        <v>101</v>
      </c>
      <c r="B106" s="33">
        <v>9</v>
      </c>
      <c r="C106" s="26">
        <v>1</v>
      </c>
      <c r="D106" s="26">
        <v>2</v>
      </c>
      <c r="E106" s="26">
        <v>1.8200000000000001</v>
      </c>
      <c r="F106" s="26">
        <f t="shared" si="18"/>
        <v>5.7692307692307692</v>
      </c>
      <c r="G106" s="26">
        <v>380</v>
      </c>
      <c r="H106" s="26">
        <f t="shared" si="19"/>
        <v>30.891094317312689</v>
      </c>
      <c r="I106" s="31">
        <v>1</v>
      </c>
      <c r="J106" s="46"/>
      <c r="K106" s="33">
        <v>135</v>
      </c>
      <c r="L106" s="26">
        <v>1</v>
      </c>
      <c r="M106" s="26">
        <v>0.059999999999999998</v>
      </c>
      <c r="N106" s="26">
        <f t="shared" si="21"/>
        <v>143.09999999999999</v>
      </c>
      <c r="O106" s="31">
        <f t="shared" si="22"/>
        <v>25.986065770544148</v>
      </c>
      <c r="Q106" s="33">
        <v>43</v>
      </c>
      <c r="R106" s="34">
        <f t="shared" si="23"/>
        <v>79.901728070285472</v>
      </c>
      <c r="T106" s="34">
        <v>2</v>
      </c>
      <c r="U106" s="30">
        <v>4</v>
      </c>
      <c r="V106" s="46"/>
    </row>
    <row r="107">
      <c r="A107" s="40" t="s">
        <v>102</v>
      </c>
      <c r="B107" s="33">
        <v>29</v>
      </c>
      <c r="C107" s="26">
        <v>1</v>
      </c>
      <c r="D107" s="26">
        <v>1</v>
      </c>
      <c r="E107" s="26">
        <v>2.3999999999999999</v>
      </c>
      <c r="F107" s="26">
        <f t="shared" si="18"/>
        <v>12.5</v>
      </c>
      <c r="G107" s="26">
        <v>350</v>
      </c>
      <c r="H107" s="26">
        <f t="shared" si="19"/>
        <v>66.930704354177493</v>
      </c>
      <c r="I107" s="31">
        <f t="shared" si="20"/>
        <v>1.0300429184549356</v>
      </c>
      <c r="J107" s="2"/>
      <c r="K107" s="33">
        <v>235</v>
      </c>
      <c r="L107" s="26">
        <v>3</v>
      </c>
      <c r="M107" s="26">
        <v>0.059999999999999998</v>
      </c>
      <c r="N107" s="26">
        <f t="shared" si="21"/>
        <v>277.30000000000001</v>
      </c>
      <c r="O107" s="31">
        <f t="shared" si="22"/>
        <v>50.355947157036283</v>
      </c>
      <c r="P107" s="2"/>
      <c r="Q107" s="33">
        <v>35</v>
      </c>
      <c r="R107" s="34">
        <f t="shared" si="23"/>
        <v>125.48942957147231</v>
      </c>
      <c r="T107" s="34">
        <v>4</v>
      </c>
      <c r="U107" s="30">
        <v>4</v>
      </c>
      <c r="V107" s="46"/>
    </row>
    <row r="108">
      <c r="A108" s="40" t="s">
        <v>103</v>
      </c>
      <c r="B108" s="33">
        <v>13</v>
      </c>
      <c r="C108" s="26">
        <v>1</v>
      </c>
      <c r="D108" s="26">
        <v>3</v>
      </c>
      <c r="E108" s="35">
        <v>1.8200000000000001</v>
      </c>
      <c r="F108" s="26">
        <f t="shared" si="18"/>
        <v>8.2417582417582409</v>
      </c>
      <c r="G108" s="26"/>
      <c r="H108" s="26">
        <f t="shared" si="19"/>
        <v>44.130134739018125</v>
      </c>
      <c r="I108" s="31">
        <v>1</v>
      </c>
      <c r="J108" s="2"/>
      <c r="K108" s="36">
        <v>385</v>
      </c>
      <c r="L108" s="35">
        <v>5</v>
      </c>
      <c r="M108" s="35">
        <v>0.059999999999999998</v>
      </c>
      <c r="N108" s="35">
        <f t="shared" si="21"/>
        <v>500.5</v>
      </c>
      <c r="O108" s="37">
        <f t="shared" si="22"/>
        <v>90.887672384048543</v>
      </c>
      <c r="Q108" s="36">
        <v>46</v>
      </c>
      <c r="R108" s="38">
        <f t="shared" si="23"/>
        <v>144.81424569845333</v>
      </c>
      <c r="T108" s="38">
        <v>2</v>
      </c>
      <c r="U108" s="39">
        <v>5</v>
      </c>
      <c r="V108" s="46"/>
    </row>
    <row r="109">
      <c r="A109" s="40" t="s">
        <v>104</v>
      </c>
      <c r="B109" s="27">
        <v>7</v>
      </c>
      <c r="C109" s="24">
        <v>1</v>
      </c>
      <c r="D109" s="24">
        <v>3</v>
      </c>
      <c r="E109" s="24">
        <v>1.75</v>
      </c>
      <c r="F109" s="24">
        <f t="shared" si="18"/>
        <v>5.1428571428571432</v>
      </c>
      <c r="G109" s="24">
        <v>430</v>
      </c>
      <c r="H109" s="24">
        <f t="shared" si="19"/>
        <v>27.537204077147315</v>
      </c>
      <c r="I109" s="25">
        <f t="shared" si="20"/>
        <v>1.0149634613153926</v>
      </c>
      <c r="J109" s="46"/>
      <c r="K109" s="33">
        <v>110</v>
      </c>
      <c r="L109" s="26">
        <v>0</v>
      </c>
      <c r="M109" s="26">
        <v>0.059999999999999998</v>
      </c>
      <c r="N109" s="26">
        <f t="shared" si="21"/>
        <v>110</v>
      </c>
      <c r="O109" s="31">
        <f t="shared" si="22"/>
        <v>19.975312611878799</v>
      </c>
      <c r="Q109" s="33">
        <v>14</v>
      </c>
      <c r="R109" s="34">
        <f t="shared" si="23"/>
        <v>49.946365482331842</v>
      </c>
      <c r="T109" s="34">
        <v>1</v>
      </c>
      <c r="U109" s="30">
        <v>2</v>
      </c>
      <c r="V109" s="46"/>
    </row>
    <row r="110">
      <c r="A110" s="40" t="s">
        <v>105</v>
      </c>
      <c r="B110" s="33">
        <v>7</v>
      </c>
      <c r="C110" s="26">
        <v>1</v>
      </c>
      <c r="D110" s="26">
        <v>1</v>
      </c>
      <c r="E110" s="26">
        <v>1</v>
      </c>
      <c r="F110" s="26">
        <f t="shared" si="18"/>
        <v>8</v>
      </c>
      <c r="G110" s="26">
        <v>430</v>
      </c>
      <c r="H110" s="26">
        <f t="shared" si="19"/>
        <v>42.835650786673597</v>
      </c>
      <c r="I110" s="31">
        <f t="shared" si="20"/>
        <v>1.0234716157205239</v>
      </c>
      <c r="J110" s="46"/>
      <c r="K110" s="33">
        <v>120</v>
      </c>
      <c r="L110" s="26">
        <v>0</v>
      </c>
      <c r="M110" s="26">
        <v>0.059999999999999998</v>
      </c>
      <c r="N110" s="26">
        <f t="shared" si="21"/>
        <v>120</v>
      </c>
      <c r="O110" s="31">
        <f t="shared" si="22"/>
        <v>21.7912501220496</v>
      </c>
      <c r="Q110" s="33">
        <v>51</v>
      </c>
      <c r="R110" s="34">
        <f t="shared" si="23"/>
        <v>94.672680875046296</v>
      </c>
      <c r="T110" s="34">
        <v>1</v>
      </c>
      <c r="U110" s="30">
        <v>4</v>
      </c>
      <c r="V110" s="46"/>
    </row>
    <row r="111">
      <c r="A111" s="40" t="s">
        <v>106</v>
      </c>
      <c r="B111" s="36">
        <v>12</v>
      </c>
      <c r="C111" s="35">
        <v>1</v>
      </c>
      <c r="D111" s="35">
        <v>3</v>
      </c>
      <c r="E111" s="35">
        <v>1.75</v>
      </c>
      <c r="F111" s="35">
        <f t="shared" si="18"/>
        <v>8</v>
      </c>
      <c r="G111" s="35">
        <v>550</v>
      </c>
      <c r="H111" s="35">
        <f t="shared" si="19"/>
        <v>42.835650786673597</v>
      </c>
      <c r="I111" s="37">
        <f t="shared" si="20"/>
        <v>1.0302197802197803</v>
      </c>
      <c r="J111" s="46"/>
      <c r="K111" s="36">
        <v>120</v>
      </c>
      <c r="L111" s="35">
        <v>0</v>
      </c>
      <c r="M111" s="35">
        <v>0.059999999999999998</v>
      </c>
      <c r="N111" s="35">
        <f t="shared" si="21"/>
        <v>120</v>
      </c>
      <c r="O111" s="37">
        <f t="shared" si="22"/>
        <v>21.7912501220496</v>
      </c>
      <c r="Q111" s="36">
        <v>105</v>
      </c>
      <c r="R111" s="38">
        <f t="shared" si="23"/>
        <v>139.80239085883781</v>
      </c>
      <c r="T111" s="38">
        <v>1</v>
      </c>
      <c r="U111" s="39">
        <v>4</v>
      </c>
      <c r="V111" s="46"/>
    </row>
    <row r="112">
      <c r="A112" s="40" t="s">
        <v>107</v>
      </c>
      <c r="B112" s="33">
        <v>13</v>
      </c>
      <c r="C112" s="26">
        <v>1</v>
      </c>
      <c r="D112" s="26">
        <v>3</v>
      </c>
      <c r="E112" s="26">
        <v>1.6000000000000001</v>
      </c>
      <c r="F112" s="26">
        <f t="shared" si="18"/>
        <v>9.375</v>
      </c>
      <c r="G112" s="24">
        <v>390</v>
      </c>
      <c r="H112" s="26">
        <f t="shared" si="19"/>
        <v>50.19802826563312</v>
      </c>
      <c r="I112" s="25">
        <f t="shared" si="20"/>
        <v>1.0249839846252402</v>
      </c>
      <c r="J112" s="46"/>
      <c r="K112" s="33">
        <v>230</v>
      </c>
      <c r="L112" s="26">
        <v>2</v>
      </c>
      <c r="M112" s="26">
        <v>0.059999999999999998</v>
      </c>
      <c r="N112" s="26">
        <f t="shared" si="21"/>
        <v>257.60000000000002</v>
      </c>
      <c r="O112" s="31">
        <f t="shared" si="22"/>
        <v>46.778550261999811</v>
      </c>
      <c r="Q112" s="33">
        <v>1</v>
      </c>
      <c r="R112" s="34">
        <f t="shared" si="23"/>
        <v>80.339539087360777</v>
      </c>
      <c r="T112" s="34">
        <v>2</v>
      </c>
      <c r="U112" s="30">
        <v>0</v>
      </c>
      <c r="V112" s="46"/>
    </row>
    <row r="113">
      <c r="A113" s="40" t="s">
        <v>108</v>
      </c>
      <c r="B113" s="33">
        <v>13</v>
      </c>
      <c r="C113" s="26">
        <v>1</v>
      </c>
      <c r="D113" s="26">
        <v>4</v>
      </c>
      <c r="E113" s="26">
        <v>1.6000000000000001</v>
      </c>
      <c r="F113" s="26">
        <f t="shared" si="18"/>
        <v>9.6875</v>
      </c>
      <c r="G113" s="26">
        <v>300</v>
      </c>
      <c r="H113" s="26">
        <f t="shared" si="19"/>
        <v>51.871295874487558</v>
      </c>
      <c r="I113" s="31">
        <f t="shared" si="20"/>
        <v>1.0197578075207139</v>
      </c>
      <c r="J113" s="46"/>
      <c r="K113" s="33">
        <v>400</v>
      </c>
      <c r="L113" s="26">
        <v>4</v>
      </c>
      <c r="M113" s="26">
        <v>0.059999999999999998</v>
      </c>
      <c r="N113" s="26">
        <f t="shared" si="21"/>
        <v>496</v>
      </c>
      <c r="O113" s="31">
        <f t="shared" si="22"/>
        <v>90.070500504471681</v>
      </c>
      <c r="Q113" s="33">
        <v>97</v>
      </c>
      <c r="R113" s="34">
        <f t="shared" si="23"/>
        <v>194.93020992037464</v>
      </c>
      <c r="T113" s="34">
        <v>3</v>
      </c>
      <c r="U113" s="30">
        <v>5</v>
      </c>
      <c r="V113" s="46"/>
    </row>
    <row r="114">
      <c r="A114" s="40" t="s">
        <v>109</v>
      </c>
      <c r="B114" s="36">
        <v>18</v>
      </c>
      <c r="C114" s="35">
        <v>1</v>
      </c>
      <c r="D114" s="35">
        <v>6</v>
      </c>
      <c r="E114" s="35">
        <v>1.6499999999999999</v>
      </c>
      <c r="F114" s="35">
        <f t="shared" si="18"/>
        <v>13.030303030303031</v>
      </c>
      <c r="G114" s="35"/>
      <c r="H114" s="35">
        <f t="shared" si="19"/>
        <v>69.770188781324421</v>
      </c>
      <c r="I114" s="37">
        <f t="shared" si="20"/>
        <v>1</v>
      </c>
      <c r="J114" s="46"/>
      <c r="K114" s="36">
        <v>530</v>
      </c>
      <c r="L114" s="35">
        <v>5</v>
      </c>
      <c r="M114" s="35">
        <v>0.059999999999999998</v>
      </c>
      <c r="N114" s="35">
        <f t="shared" si="21"/>
        <v>689</v>
      </c>
      <c r="O114" s="37">
        <f t="shared" si="22"/>
        <v>125.11809445076813</v>
      </c>
      <c r="Q114" s="36">
        <v>61</v>
      </c>
      <c r="R114" s="38">
        <f t="shared" si="23"/>
        <v>204.71062658567405</v>
      </c>
      <c r="T114" s="38">
        <v>3</v>
      </c>
      <c r="U114" s="39">
        <v>0</v>
      </c>
      <c r="V114" s="46"/>
    </row>
    <row r="115" ht="14.25">
      <c r="A115" s="40" t="s">
        <v>110</v>
      </c>
      <c r="B115" s="33">
        <v>17</v>
      </c>
      <c r="C115" s="26">
        <v>1</v>
      </c>
      <c r="D115" s="26">
        <v>3</v>
      </c>
      <c r="E115" s="26">
        <v>1.99</v>
      </c>
      <c r="F115" s="26">
        <f t="shared" si="18"/>
        <v>9.5477386934673376</v>
      </c>
      <c r="G115" s="26"/>
      <c r="H115" s="26">
        <f t="shared" si="19"/>
        <v>51.122950059472259</v>
      </c>
      <c r="I115" s="31">
        <v>1</v>
      </c>
      <c r="J115" s="46"/>
      <c r="K115" s="33">
        <v>235</v>
      </c>
      <c r="L115" s="26">
        <v>3</v>
      </c>
      <c r="M115" s="26">
        <v>0.059999999999999998</v>
      </c>
      <c r="N115" s="26">
        <f t="shared" si="21"/>
        <v>277.30000000000001</v>
      </c>
      <c r="O115" s="31">
        <f t="shared" si="22"/>
        <v>50.355947157036283</v>
      </c>
      <c r="Q115" s="33">
        <v>24</v>
      </c>
      <c r="R115" s="34">
        <f t="shared" si="23"/>
        <v>100.38311777320683</v>
      </c>
      <c r="T115" s="34">
        <v>4</v>
      </c>
      <c r="U115" s="30">
        <v>3</v>
      </c>
      <c r="V115" s="46"/>
    </row>
    <row r="116">
      <c r="A116" s="40" t="s">
        <v>111</v>
      </c>
      <c r="B116" s="33">
        <v>27</v>
      </c>
      <c r="C116" s="26">
        <v>1</v>
      </c>
      <c r="D116" s="26">
        <v>5</v>
      </c>
      <c r="E116" s="26">
        <v>1.8500000000000001</v>
      </c>
      <c r="F116" s="26">
        <f t="shared" si="18"/>
        <v>16.216216216216214</v>
      </c>
      <c r="G116" s="26"/>
      <c r="H116" s="26">
        <f t="shared" si="19"/>
        <v>86.829021864878897</v>
      </c>
      <c r="I116" s="31">
        <f t="shared" si="20"/>
        <v>1</v>
      </c>
      <c r="J116" s="46"/>
      <c r="K116" s="33">
        <v>590</v>
      </c>
      <c r="L116" s="26">
        <v>4</v>
      </c>
      <c r="M116" s="26">
        <v>0.059999999999999998</v>
      </c>
      <c r="N116" s="26">
        <f t="shared" si="21"/>
        <v>731.60000000000002</v>
      </c>
      <c r="O116" s="31">
        <f t="shared" si="22"/>
        <v>132.85398824409575</v>
      </c>
      <c r="Q116" s="33">
        <v>93</v>
      </c>
      <c r="R116" s="34">
        <f t="shared" si="23"/>
        <v>250.14640808717974</v>
      </c>
      <c r="T116" s="34">
        <v>4</v>
      </c>
      <c r="U116" s="30">
        <v>6</v>
      </c>
      <c r="V116" s="46"/>
    </row>
    <row r="117">
      <c r="A117" s="40" t="s">
        <v>112</v>
      </c>
      <c r="B117" s="36">
        <v>20</v>
      </c>
      <c r="C117" s="35">
        <v>1</v>
      </c>
      <c r="D117" s="35">
        <v>6</v>
      </c>
      <c r="E117" s="35">
        <v>1.95</v>
      </c>
      <c r="F117" s="35">
        <f t="shared" si="18"/>
        <v>12.051282051282051</v>
      </c>
      <c r="G117" s="35"/>
      <c r="H117" s="35">
        <f t="shared" si="19"/>
        <v>64.528063685053169</v>
      </c>
      <c r="I117" s="37">
        <v>1</v>
      </c>
      <c r="J117" s="46"/>
      <c r="K117" s="36">
        <v>640</v>
      </c>
      <c r="L117" s="35">
        <v>6</v>
      </c>
      <c r="M117" s="35">
        <v>0.059999999999999998</v>
      </c>
      <c r="N117" s="35">
        <f t="shared" si="21"/>
        <v>870.39999999999986</v>
      </c>
      <c r="O117" s="37">
        <f t="shared" si="22"/>
        <v>158.05920088526642</v>
      </c>
      <c r="Q117" s="36">
        <v>277</v>
      </c>
      <c r="R117" s="38">
        <f t="shared" si="23"/>
        <v>399.66981165625566</v>
      </c>
      <c r="T117" s="38">
        <v>3</v>
      </c>
      <c r="U117" s="39">
        <v>7</v>
      </c>
      <c r="V117" s="46"/>
    </row>
    <row r="118">
      <c r="T118" s="51"/>
      <c r="U118" s="46"/>
      <c r="V118" s="46"/>
    </row>
    <row r="119">
      <c r="N119" s="52"/>
      <c r="R119" s="52"/>
      <c r="T119" s="51"/>
      <c r="U119" s="46"/>
      <c r="V119" s="4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K120" s="26"/>
      <c r="L120" s="26"/>
      <c r="M120" s="26"/>
      <c r="N120" s="26"/>
      <c r="O120" s="26"/>
      <c r="P120" s="46"/>
      <c r="Q120" s="26"/>
      <c r="R120" s="49"/>
      <c r="T120" s="51"/>
      <c r="U120" s="46"/>
      <c r="V120" s="46"/>
    </row>
    <row r="121">
      <c r="A121" s="2"/>
      <c r="B121" s="3"/>
      <c r="C121" s="4"/>
      <c r="D121" s="4"/>
      <c r="E121" s="4"/>
      <c r="F121" s="4"/>
      <c r="G121" s="4"/>
      <c r="H121" s="4"/>
      <c r="I121" s="5"/>
      <c r="K121" s="44"/>
      <c r="L121" s="44"/>
      <c r="M121" s="44"/>
      <c r="N121" s="44"/>
      <c r="O121" s="44"/>
      <c r="P121" s="2"/>
      <c r="Q121" s="10"/>
      <c r="R121" s="11"/>
      <c r="T121" s="12"/>
      <c r="U121" s="45"/>
      <c r="V121" s="46"/>
    </row>
    <row r="122" ht="16.5">
      <c r="A122" s="14" t="s">
        <v>113</v>
      </c>
      <c r="B122" s="15" t="s">
        <v>1</v>
      </c>
      <c r="C122" s="16" t="s">
        <v>2</v>
      </c>
      <c r="D122" s="16" t="s">
        <v>3</v>
      </c>
      <c r="E122" s="16" t="s">
        <v>4</v>
      </c>
      <c r="F122" s="16" t="s">
        <v>5</v>
      </c>
      <c r="G122" s="16" t="s">
        <v>6</v>
      </c>
      <c r="H122" s="17" t="s">
        <v>7</v>
      </c>
      <c r="I122" s="17" t="s">
        <v>8</v>
      </c>
      <c r="K122" s="16" t="s">
        <v>9</v>
      </c>
      <c r="L122" s="16" t="s">
        <v>10</v>
      </c>
      <c r="M122" s="16" t="s">
        <v>11</v>
      </c>
      <c r="N122" s="16" t="s">
        <v>12</v>
      </c>
      <c r="O122" s="17" t="s">
        <v>13</v>
      </c>
      <c r="P122" s="2"/>
      <c r="Q122" s="17" t="s">
        <v>14</v>
      </c>
      <c r="R122" s="19" t="s">
        <v>15</v>
      </c>
      <c r="T122" s="20" t="s">
        <v>16</v>
      </c>
      <c r="U122" s="20" t="s">
        <v>17</v>
      </c>
      <c r="V122" s="46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1"/>
      <c r="K123" s="2"/>
      <c r="L123" s="2"/>
      <c r="M123" s="2"/>
      <c r="N123" s="2"/>
      <c r="O123" s="2"/>
      <c r="P123" s="2"/>
      <c r="Q123" s="2"/>
      <c r="R123" s="21"/>
      <c r="T123" s="26"/>
      <c r="U123" s="22"/>
      <c r="V123" s="46"/>
    </row>
    <row r="124">
      <c r="A124" s="40" t="s">
        <v>114</v>
      </c>
      <c r="B124" s="27">
        <v>9</v>
      </c>
      <c r="C124" s="24">
        <v>1</v>
      </c>
      <c r="D124" s="24">
        <v>2</v>
      </c>
      <c r="E124" s="24">
        <v>1.5</v>
      </c>
      <c r="F124" s="24">
        <f t="shared" si="18"/>
        <v>7</v>
      </c>
      <c r="G124" s="24"/>
      <c r="H124" s="24">
        <f t="shared" si="19"/>
        <v>37.481194438339401</v>
      </c>
      <c r="I124" s="25">
        <f t="shared" si="20"/>
        <v>1</v>
      </c>
      <c r="J124" s="1"/>
      <c r="K124" s="27">
        <v>180</v>
      </c>
      <c r="L124" s="24">
        <v>2</v>
      </c>
      <c r="M124" s="24">
        <v>0.059999999999999998</v>
      </c>
      <c r="N124" s="24">
        <f t="shared" si="21"/>
        <v>201.60000000000002</v>
      </c>
      <c r="O124" s="25">
        <f t="shared" si="22"/>
        <v>36.609300205043333</v>
      </c>
      <c r="P124" s="26"/>
      <c r="Q124" s="27">
        <v>1</v>
      </c>
      <c r="R124" s="28">
        <f t="shared" si="23"/>
        <v>60.072395714706182</v>
      </c>
      <c r="T124" s="28">
        <v>2</v>
      </c>
      <c r="U124" s="30">
        <v>2</v>
      </c>
      <c r="V124" s="46"/>
    </row>
    <row r="125">
      <c r="A125" s="40" t="s">
        <v>115</v>
      </c>
      <c r="B125" s="33">
        <v>16</v>
      </c>
      <c r="C125" s="26">
        <v>1</v>
      </c>
      <c r="D125" s="26">
        <v>2</v>
      </c>
      <c r="E125" s="26">
        <v>1.5</v>
      </c>
      <c r="F125" s="26">
        <f t="shared" si="18"/>
        <v>11.666666666666666</v>
      </c>
      <c r="G125" s="26"/>
      <c r="H125" s="26">
        <f t="shared" si="19"/>
        <v>62.468657397232327</v>
      </c>
      <c r="I125" s="31">
        <f t="shared" si="20"/>
        <v>1</v>
      </c>
      <c r="J125" s="1"/>
      <c r="K125" s="33">
        <v>425</v>
      </c>
      <c r="L125" s="26">
        <v>4</v>
      </c>
      <c r="M125" s="26">
        <v>0.059999999999999998</v>
      </c>
      <c r="N125" s="26">
        <f t="shared" si="21"/>
        <v>527</v>
      </c>
      <c r="O125" s="31">
        <f t="shared" si="22"/>
        <v>95.699906786001165</v>
      </c>
      <c r="P125" s="26"/>
      <c r="Q125" s="33">
        <v>29</v>
      </c>
      <c r="R125" s="34">
        <f t="shared" si="23"/>
        <v>149.73485134658679</v>
      </c>
      <c r="T125" s="34">
        <v>4</v>
      </c>
      <c r="U125" s="30">
        <v>4</v>
      </c>
      <c r="V125" s="46"/>
    </row>
    <row r="126">
      <c r="A126" s="40" t="s">
        <v>116</v>
      </c>
      <c r="B126" s="33">
        <v>14</v>
      </c>
      <c r="C126" s="26">
        <v>1</v>
      </c>
      <c r="D126" s="26">
        <v>3</v>
      </c>
      <c r="E126" s="26">
        <v>1.5</v>
      </c>
      <c r="F126" s="26">
        <f t="shared" si="18"/>
        <v>10.666666666666666</v>
      </c>
      <c r="G126" s="26"/>
      <c r="H126" s="26">
        <f t="shared" si="19"/>
        <v>57.114201048898124</v>
      </c>
      <c r="I126" s="31">
        <f t="shared" si="20"/>
        <v>1</v>
      </c>
      <c r="J126" s="1"/>
      <c r="K126" s="36">
        <v>340</v>
      </c>
      <c r="L126" s="35">
        <v>2</v>
      </c>
      <c r="M126" s="35">
        <v>0.059999999999999998</v>
      </c>
      <c r="N126" s="35">
        <f t="shared" si="21"/>
        <v>380.80000000000001</v>
      </c>
      <c r="O126" s="37">
        <f t="shared" si="22"/>
        <v>69.150900387304063</v>
      </c>
      <c r="P126" s="26"/>
      <c r="Q126" s="36">
        <v>24</v>
      </c>
      <c r="R126" s="38">
        <f t="shared" si="23"/>
        <v>120.21208114896177</v>
      </c>
      <c r="T126" s="38">
        <v>3</v>
      </c>
      <c r="U126" s="39">
        <v>2</v>
      </c>
      <c r="V126" s="46"/>
    </row>
    <row r="127">
      <c r="A127" s="40" t="s">
        <v>117</v>
      </c>
      <c r="B127" s="27">
        <v>12</v>
      </c>
      <c r="C127" s="24">
        <v>1</v>
      </c>
      <c r="D127" s="24">
        <v>3</v>
      </c>
      <c r="E127" s="24">
        <v>2</v>
      </c>
      <c r="F127" s="24">
        <f t="shared" si="18"/>
        <v>7</v>
      </c>
      <c r="G127" s="24">
        <v>200</v>
      </c>
      <c r="H127" s="24">
        <f t="shared" si="19"/>
        <v>37.481194438339401</v>
      </c>
      <c r="I127" s="25">
        <f t="shared" si="20"/>
        <v>1.009421265141319</v>
      </c>
      <c r="J127" s="1"/>
      <c r="K127" s="33">
        <v>175</v>
      </c>
      <c r="L127" s="26">
        <v>2</v>
      </c>
      <c r="M127" s="26">
        <v>0.059999999999999998</v>
      </c>
      <c r="N127" s="26">
        <f t="shared" si="21"/>
        <v>196.00000000000003</v>
      </c>
      <c r="O127" s="31">
        <f t="shared" si="22"/>
        <v>35.592375199347686</v>
      </c>
      <c r="Q127" s="33">
        <v>8</v>
      </c>
      <c r="R127" s="34">
        <f t="shared" si="23"/>
        <v>65.469908186557547</v>
      </c>
      <c r="T127" s="34">
        <v>2</v>
      </c>
      <c r="U127" s="30">
        <v>0</v>
      </c>
      <c r="V127" s="46"/>
    </row>
    <row r="128">
      <c r="A128" s="40" t="s">
        <v>118</v>
      </c>
      <c r="B128" s="33">
        <v>18</v>
      </c>
      <c r="C128" s="26">
        <v>1</v>
      </c>
      <c r="D128" s="26">
        <v>5</v>
      </c>
      <c r="E128" s="26">
        <v>1.95</v>
      </c>
      <c r="F128" s="26">
        <f t="shared" si="18"/>
        <v>10.76923076923077</v>
      </c>
      <c r="G128" s="26">
        <v>500</v>
      </c>
      <c r="H128" s="26">
        <f t="shared" si="19"/>
        <v>57.663376058983694</v>
      </c>
      <c r="I128" s="31">
        <f t="shared" si="20"/>
        <v>1.0372340425531914</v>
      </c>
      <c r="J128" s="1"/>
      <c r="K128" s="33">
        <v>250</v>
      </c>
      <c r="L128" s="26">
        <v>2</v>
      </c>
      <c r="M128" s="26">
        <v>0.059999999999999998</v>
      </c>
      <c r="N128" s="26">
        <f t="shared" si="21"/>
        <v>280</v>
      </c>
      <c r="O128" s="31">
        <f t="shared" si="22"/>
        <v>50.8462502847824</v>
      </c>
      <c r="Q128" s="33">
        <v>72</v>
      </c>
      <c r="R128" s="34">
        <f t="shared" si="23"/>
        <v>149.78458356184845</v>
      </c>
      <c r="T128" s="34">
        <v>3</v>
      </c>
      <c r="U128" s="30">
        <v>3</v>
      </c>
      <c r="V128" s="46"/>
    </row>
    <row r="129">
      <c r="A129" s="40" t="s">
        <v>119</v>
      </c>
      <c r="B129" s="36">
        <v>19</v>
      </c>
      <c r="C129" s="35">
        <v>1</v>
      </c>
      <c r="D129" s="35">
        <v>3</v>
      </c>
      <c r="E129" s="26">
        <v>2.1000000000000001</v>
      </c>
      <c r="F129" s="35">
        <f t="shared" si="18"/>
        <v>10</v>
      </c>
      <c r="G129" s="35"/>
      <c r="H129" s="35">
        <f t="shared" si="19"/>
        <v>53.544563483341996</v>
      </c>
      <c r="I129" s="37">
        <f t="shared" si="20"/>
        <v>1</v>
      </c>
      <c r="J129" s="1"/>
      <c r="K129" s="36">
        <v>275</v>
      </c>
      <c r="L129" s="35">
        <v>1</v>
      </c>
      <c r="M129" s="35">
        <v>0.059999999999999998</v>
      </c>
      <c r="N129" s="35">
        <f t="shared" si="21"/>
        <v>291.5</v>
      </c>
      <c r="O129" s="37">
        <f t="shared" si="22"/>
        <v>52.934578421478818</v>
      </c>
      <c r="Q129" s="36">
        <v>56</v>
      </c>
      <c r="R129" s="38">
        <f t="shared" si="23"/>
        <v>129.98331352385665</v>
      </c>
      <c r="T129" s="38">
        <v>3</v>
      </c>
      <c r="U129" s="39">
        <v>5</v>
      </c>
      <c r="V129" s="46"/>
    </row>
    <row r="130">
      <c r="A130" s="40" t="s">
        <v>120</v>
      </c>
      <c r="B130" s="33">
        <v>16</v>
      </c>
      <c r="C130" s="26">
        <v>1</v>
      </c>
      <c r="D130" s="26">
        <v>2</v>
      </c>
      <c r="E130" s="24">
        <v>1.7</v>
      </c>
      <c r="F130" s="26">
        <f t="shared" si="18"/>
        <v>10.294117647058824</v>
      </c>
      <c r="G130" s="26">
        <v>370</v>
      </c>
      <c r="H130" s="26">
        <f t="shared" si="19"/>
        <v>55.119403585793236</v>
      </c>
      <c r="I130" s="25">
        <f t="shared" si="20"/>
        <v>1.0260537169298865</v>
      </c>
      <c r="K130" s="33">
        <v>135</v>
      </c>
      <c r="L130" s="26">
        <v>0</v>
      </c>
      <c r="M130" s="26">
        <v>0.059999999999999998</v>
      </c>
      <c r="N130" s="26">
        <f t="shared" si="21"/>
        <v>135</v>
      </c>
      <c r="O130" s="31">
        <f t="shared" si="22"/>
        <v>24.515156387305801</v>
      </c>
      <c r="Q130" s="33">
        <v>-18</v>
      </c>
      <c r="R130" s="34">
        <f t="shared" si="23"/>
        <v>50.592295481389023</v>
      </c>
      <c r="T130" s="34">
        <v>2</v>
      </c>
      <c r="U130" s="30">
        <v>0</v>
      </c>
      <c r="V130" s="46"/>
    </row>
    <row r="131">
      <c r="A131" s="40" t="s">
        <v>121</v>
      </c>
      <c r="B131" s="33">
        <v>18</v>
      </c>
      <c r="C131" s="26">
        <v>1</v>
      </c>
      <c r="D131" s="26">
        <v>3</v>
      </c>
      <c r="E131" s="26">
        <v>1.6000000000000001</v>
      </c>
      <c r="F131" s="26">
        <f t="shared" si="18"/>
        <v>12.5</v>
      </c>
      <c r="G131" s="26">
        <v>440</v>
      </c>
      <c r="H131" s="26">
        <f t="shared" si="19"/>
        <v>66.930704354177493</v>
      </c>
      <c r="I131" s="31">
        <f t="shared" si="20"/>
        <v>1.0380622837370244</v>
      </c>
      <c r="K131" s="33">
        <v>365</v>
      </c>
      <c r="L131" s="26">
        <v>0</v>
      </c>
      <c r="M131" s="26">
        <v>0.059999999999999998</v>
      </c>
      <c r="N131" s="26">
        <f t="shared" si="21"/>
        <v>365</v>
      </c>
      <c r="O131" s="31">
        <f t="shared" si="22"/>
        <v>66.281719121234204</v>
      </c>
      <c r="P131" s="2"/>
      <c r="Q131" s="33">
        <v>-31</v>
      </c>
      <c r="R131" s="34">
        <f t="shared" si="23"/>
        <v>84.882289391345367</v>
      </c>
      <c r="T131" s="34">
        <v>4</v>
      </c>
      <c r="U131" s="30">
        <v>0</v>
      </c>
      <c r="V131" s="46"/>
    </row>
    <row r="132">
      <c r="A132" s="40" t="s">
        <v>122</v>
      </c>
      <c r="B132" s="33">
        <v>11</v>
      </c>
      <c r="C132" s="26">
        <v>1</v>
      </c>
      <c r="D132" s="26">
        <v>3</v>
      </c>
      <c r="E132" s="35">
        <v>1.25</v>
      </c>
      <c r="F132" s="26">
        <f t="shared" si="18"/>
        <v>10.4</v>
      </c>
      <c r="G132" s="26">
        <v>540</v>
      </c>
      <c r="H132" s="26">
        <f t="shared" si="19"/>
        <v>55.686346022675679</v>
      </c>
      <c r="I132" s="37">
        <f t="shared" si="20"/>
        <v>1.0388962765957446</v>
      </c>
      <c r="K132" s="36">
        <v>190</v>
      </c>
      <c r="L132" s="35">
        <v>0</v>
      </c>
      <c r="M132" s="35">
        <v>0.059999999999999998</v>
      </c>
      <c r="N132" s="35">
        <f t="shared" si="21"/>
        <v>190</v>
      </c>
      <c r="O132" s="37">
        <f t="shared" si="22"/>
        <v>34.502812693245197</v>
      </c>
      <c r="Q132" s="36">
        <v>42</v>
      </c>
      <c r="R132" s="38">
        <f t="shared" si="23"/>
        <v>109.86465983703529</v>
      </c>
      <c r="T132" s="38">
        <v>3</v>
      </c>
      <c r="U132" s="39">
        <v>5</v>
      </c>
    </row>
    <row r="133">
      <c r="A133" s="40" t="s">
        <v>123</v>
      </c>
      <c r="B133" s="27">
        <v>7</v>
      </c>
      <c r="C133" s="24">
        <v>1</v>
      </c>
      <c r="D133" s="24">
        <v>2</v>
      </c>
      <c r="E133" s="24">
        <v>1.5700000000000001</v>
      </c>
      <c r="F133" s="24">
        <f t="shared" si="18"/>
        <v>5.4140127388535033</v>
      </c>
      <c r="G133" s="24">
        <v>420</v>
      </c>
      <c r="H133" s="24">
        <f t="shared" si="19"/>
        <v>28.989094879516369</v>
      </c>
      <c r="I133" s="25">
        <f t="shared" si="20"/>
        <v>1.0153925753460096</v>
      </c>
      <c r="K133" s="33">
        <v>110</v>
      </c>
      <c r="L133" s="26">
        <v>0</v>
      </c>
      <c r="M133" s="26">
        <v>0.059999999999999998</v>
      </c>
      <c r="N133" s="26">
        <f t="shared" si="21"/>
        <v>110</v>
      </c>
      <c r="O133" s="31">
        <f t="shared" si="22"/>
        <v>19.975312611878799</v>
      </c>
      <c r="Q133" s="33">
        <v>37</v>
      </c>
      <c r="R133" s="34">
        <f t="shared" si="23"/>
        <v>69.830096888625221</v>
      </c>
      <c r="T133" s="34">
        <v>1</v>
      </c>
      <c r="U133" s="30">
        <v>3</v>
      </c>
      <c r="V133" s="46"/>
    </row>
    <row r="134">
      <c r="A134" s="40" t="s">
        <v>124</v>
      </c>
      <c r="B134" s="33">
        <v>7</v>
      </c>
      <c r="C134" s="26">
        <v>1</v>
      </c>
      <c r="D134" s="26">
        <v>2</v>
      </c>
      <c r="E134" s="26">
        <v>1.5700000000000001</v>
      </c>
      <c r="F134" s="26">
        <f t="shared" si="18"/>
        <v>5.4140127388535033</v>
      </c>
      <c r="G134" s="26">
        <v>420</v>
      </c>
      <c r="H134" s="26">
        <f t="shared" si="19"/>
        <v>28.989094879516369</v>
      </c>
      <c r="I134" s="31">
        <f t="shared" si="20"/>
        <v>1.0153925753460096</v>
      </c>
      <c r="K134" s="33">
        <v>125</v>
      </c>
      <c r="L134" s="26">
        <v>0</v>
      </c>
      <c r="M134" s="26">
        <v>0.059999999999999998</v>
      </c>
      <c r="N134" s="26">
        <f t="shared" si="21"/>
        <v>125</v>
      </c>
      <c r="O134" s="31">
        <f t="shared" si="22"/>
        <v>22.699218877134999</v>
      </c>
      <c r="Q134" s="47">
        <v>47</v>
      </c>
      <c r="R134" s="48">
        <f t="shared" si="23"/>
        <v>80.165904849537014</v>
      </c>
      <c r="T134" s="34">
        <v>1</v>
      </c>
      <c r="U134" s="30">
        <v>2</v>
      </c>
      <c r="V134" s="46"/>
    </row>
    <row r="135">
      <c r="A135" s="40" t="s">
        <v>125</v>
      </c>
      <c r="B135" s="36">
        <v>7</v>
      </c>
      <c r="C135" s="35">
        <v>1</v>
      </c>
      <c r="D135" s="35">
        <v>2</v>
      </c>
      <c r="E135" s="35">
        <v>1.45</v>
      </c>
      <c r="F135" s="35">
        <f t="shared" si="18"/>
        <v>5.862068965517242</v>
      </c>
      <c r="G135" s="35">
        <v>625</v>
      </c>
      <c r="H135" s="35">
        <f t="shared" si="19"/>
        <v>31.388192386786692</v>
      </c>
      <c r="I135" s="37">
        <f t="shared" si="20"/>
        <v>1.0250368188512518</v>
      </c>
      <c r="K135" s="36">
        <v>110</v>
      </c>
      <c r="L135" s="35">
        <v>0</v>
      </c>
      <c r="M135" s="35">
        <v>0.059999999999999998</v>
      </c>
      <c r="N135" s="35">
        <f t="shared" si="21"/>
        <v>110</v>
      </c>
      <c r="O135" s="37">
        <f t="shared" si="22"/>
        <v>19.975312611878799</v>
      </c>
      <c r="Q135" s="36">
        <v>58</v>
      </c>
      <c r="R135" s="38">
        <f t="shared" si="23"/>
        <v>89.681295409804036</v>
      </c>
      <c r="T135" s="38">
        <v>2</v>
      </c>
      <c r="U135" s="39">
        <v>4</v>
      </c>
      <c r="V135" s="46"/>
    </row>
    <row r="136">
      <c r="A136" s="40" t="s">
        <v>126</v>
      </c>
      <c r="B136" s="33">
        <v>15</v>
      </c>
      <c r="C136" s="26">
        <v>1</v>
      </c>
      <c r="D136" s="26">
        <v>4</v>
      </c>
      <c r="E136" s="26">
        <v>1.75</v>
      </c>
      <c r="F136" s="26">
        <f t="shared" si="18"/>
        <v>10</v>
      </c>
      <c r="G136" s="26"/>
      <c r="H136" s="26">
        <f t="shared" si="19"/>
        <v>53.544563483341996</v>
      </c>
      <c r="I136" s="25">
        <f t="shared" si="20"/>
        <v>1</v>
      </c>
      <c r="K136" s="33">
        <v>305</v>
      </c>
      <c r="L136" s="26">
        <v>2</v>
      </c>
      <c r="M136" s="26">
        <v>0.059999999999999998</v>
      </c>
      <c r="N136" s="26">
        <f t="shared" si="21"/>
        <v>341.60000000000002</v>
      </c>
      <c r="O136" s="31">
        <f t="shared" si="22"/>
        <v>62.032425347434533</v>
      </c>
      <c r="Q136" s="33">
        <v>60</v>
      </c>
      <c r="R136" s="34">
        <f t="shared" si="23"/>
        <v>140.46159106462125</v>
      </c>
      <c r="T136" s="34">
        <v>3</v>
      </c>
      <c r="U136" s="30">
        <v>5</v>
      </c>
      <c r="V136" s="46"/>
    </row>
    <row r="137">
      <c r="A137" s="40" t="s">
        <v>127</v>
      </c>
      <c r="B137" s="33">
        <v>17</v>
      </c>
      <c r="C137" s="26">
        <v>1</v>
      </c>
      <c r="D137" s="26">
        <v>6</v>
      </c>
      <c r="E137" s="26">
        <v>1.75</v>
      </c>
      <c r="F137" s="26">
        <f t="shared" si="18"/>
        <v>11.714285714285714</v>
      </c>
      <c r="G137" s="26"/>
      <c r="H137" s="26">
        <f t="shared" si="19"/>
        <v>62.723631509057761</v>
      </c>
      <c r="I137" s="31">
        <f t="shared" si="20"/>
        <v>1</v>
      </c>
      <c r="K137" s="33">
        <v>470</v>
      </c>
      <c r="L137" s="26">
        <v>3</v>
      </c>
      <c r="M137" s="26">
        <v>0.059999999999999998</v>
      </c>
      <c r="N137" s="26">
        <f t="shared" si="21"/>
        <v>554.60000000000002</v>
      </c>
      <c r="O137" s="31">
        <f t="shared" si="22"/>
        <v>100.71189431407257</v>
      </c>
      <c r="Q137" s="33">
        <v>118</v>
      </c>
      <c r="R137" s="34">
        <f t="shared" si="23"/>
        <v>225.14842065850428</v>
      </c>
      <c r="T137" s="34">
        <v>3</v>
      </c>
      <c r="U137" s="30">
        <v>6</v>
      </c>
    </row>
    <row r="138">
      <c r="A138" s="40" t="s">
        <v>128</v>
      </c>
      <c r="B138" s="36">
        <v>20</v>
      </c>
      <c r="C138" s="35">
        <v>1</v>
      </c>
      <c r="D138" s="35">
        <v>6</v>
      </c>
      <c r="E138" s="35">
        <v>1.6000000000000001</v>
      </c>
      <c r="F138" s="35">
        <f t="shared" si="18"/>
        <v>14.6875</v>
      </c>
      <c r="G138" s="35"/>
      <c r="H138" s="35">
        <f t="shared" si="19"/>
        <v>78.643577616158552</v>
      </c>
      <c r="I138" s="37">
        <f t="shared" si="20"/>
        <v>1</v>
      </c>
      <c r="K138" s="36">
        <v>520</v>
      </c>
      <c r="L138" s="35">
        <v>3</v>
      </c>
      <c r="M138" s="35">
        <v>0.059999999999999998</v>
      </c>
      <c r="N138" s="35">
        <f t="shared" si="21"/>
        <v>613.60000000000002</v>
      </c>
      <c r="O138" s="37">
        <f t="shared" si="22"/>
        <v>111.42592562408029</v>
      </c>
      <c r="Q138" s="36">
        <v>72</v>
      </c>
      <c r="R138" s="38">
        <f t="shared" si="23"/>
        <v>209.65560259219112</v>
      </c>
      <c r="T138" s="38">
        <v>3</v>
      </c>
      <c r="U138" s="39">
        <v>6</v>
      </c>
    </row>
    <row r="139">
      <c r="A139" s="40" t="s">
        <v>129</v>
      </c>
      <c r="B139" s="33">
        <v>8</v>
      </c>
      <c r="C139" s="26">
        <v>1</v>
      </c>
      <c r="D139" s="26">
        <v>3</v>
      </c>
      <c r="E139" s="26">
        <v>1.76</v>
      </c>
      <c r="F139" s="26">
        <f t="shared" si="18"/>
        <v>5.6818181818181817</v>
      </c>
      <c r="G139" s="26">
        <v>610</v>
      </c>
      <c r="H139" s="26">
        <f t="shared" si="19"/>
        <v>30.423047433717041</v>
      </c>
      <c r="I139" s="25">
        <f t="shared" si="20"/>
        <v>1.0236525785188058</v>
      </c>
      <c r="K139" s="33">
        <v>250</v>
      </c>
      <c r="L139" s="26">
        <v>2</v>
      </c>
      <c r="M139" s="26">
        <v>0.059999999999999998</v>
      </c>
      <c r="N139" s="26">
        <f t="shared" si="21"/>
        <v>280</v>
      </c>
      <c r="O139" s="31">
        <f t="shared" si="22"/>
        <v>50.8462502847824</v>
      </c>
      <c r="Q139" s="33">
        <v>163</v>
      </c>
      <c r="R139" s="34">
        <f t="shared" si="23"/>
        <v>200.03751717001583</v>
      </c>
      <c r="T139" s="34">
        <v>5</v>
      </c>
      <c r="U139" s="30">
        <v>5</v>
      </c>
    </row>
    <row r="140">
      <c r="A140" s="40" t="s">
        <v>130</v>
      </c>
      <c r="B140" s="33">
        <v>19</v>
      </c>
      <c r="C140" s="26">
        <v>1</v>
      </c>
      <c r="D140" s="26">
        <v>1</v>
      </c>
      <c r="E140" s="26">
        <v>2.5</v>
      </c>
      <c r="F140" s="26">
        <f t="shared" si="18"/>
        <v>8</v>
      </c>
      <c r="G140" s="26">
        <v>570</v>
      </c>
      <c r="H140" s="26">
        <f t="shared" si="19"/>
        <v>42.835650786673597</v>
      </c>
      <c r="I140" s="31">
        <f t="shared" si="20"/>
        <v>1.0313531353135312</v>
      </c>
      <c r="K140" s="33">
        <v>320</v>
      </c>
      <c r="L140" s="26">
        <v>2</v>
      </c>
      <c r="M140" s="26">
        <v>0.059999999999999998</v>
      </c>
      <c r="N140" s="26">
        <f t="shared" si="21"/>
        <v>358.40000000000003</v>
      </c>
      <c r="O140" s="31">
        <f t="shared" si="22"/>
        <v>65.083200364521474</v>
      </c>
      <c r="Q140" s="33">
        <v>231</v>
      </c>
      <c r="R140" s="34">
        <f t="shared" si="23"/>
        <v>279.63601580131603</v>
      </c>
      <c r="T140" s="34">
        <v>5</v>
      </c>
      <c r="U140" s="30">
        <v>5</v>
      </c>
      <c r="V140" s="46"/>
    </row>
    <row r="141">
      <c r="A141" s="40" t="s">
        <v>131</v>
      </c>
      <c r="B141" s="36">
        <v>37</v>
      </c>
      <c r="C141" s="35">
        <v>1</v>
      </c>
      <c r="D141" s="35">
        <v>8</v>
      </c>
      <c r="E141" s="35">
        <v>1.75</v>
      </c>
      <c r="F141" s="35">
        <f t="shared" si="18"/>
        <v>23.714285714285715</v>
      </c>
      <c r="G141" s="35"/>
      <c r="H141" s="35">
        <f t="shared" si="19"/>
        <v>126.97710768906816</v>
      </c>
      <c r="I141" s="37">
        <v>1</v>
      </c>
      <c r="K141" s="36">
        <v>960</v>
      </c>
      <c r="L141" s="35">
        <v>5</v>
      </c>
      <c r="M141" s="35">
        <v>0.059999999999999998</v>
      </c>
      <c r="N141" s="35">
        <f t="shared" si="21"/>
        <v>1248</v>
      </c>
      <c r="O141" s="37">
        <f t="shared" si="22"/>
        <v>226.62900126931584</v>
      </c>
      <c r="Q141" s="36">
        <v>396</v>
      </c>
      <c r="R141" s="38">
        <f t="shared" si="23"/>
        <v>599.6848871667072</v>
      </c>
      <c r="T141" s="38">
        <v>5</v>
      </c>
      <c r="U141" s="39">
        <v>0</v>
      </c>
      <c r="V141" s="46"/>
    </row>
    <row r="145">
      <c r="A145" s="2"/>
      <c r="B145" s="3"/>
      <c r="C145" s="4"/>
      <c r="D145" s="4"/>
      <c r="E145" s="4"/>
      <c r="F145" s="4"/>
      <c r="G145" s="4"/>
      <c r="H145" s="4"/>
      <c r="I145" s="5"/>
      <c r="K145" s="44"/>
      <c r="L145" s="44"/>
      <c r="M145" s="44"/>
      <c r="N145" s="44"/>
      <c r="O145" s="44"/>
      <c r="P145" s="2"/>
      <c r="R145" s="10"/>
      <c r="S145" s="11"/>
      <c r="T145" s="12"/>
      <c r="U145" s="45"/>
    </row>
    <row r="146" ht="16.5">
      <c r="A146" s="14" t="s">
        <v>132</v>
      </c>
      <c r="B146" s="15" t="s">
        <v>1</v>
      </c>
      <c r="C146" s="16" t="s">
        <v>2</v>
      </c>
      <c r="D146" s="16" t="s">
        <v>3</v>
      </c>
      <c r="E146" s="16" t="s">
        <v>4</v>
      </c>
      <c r="F146" s="16" t="s">
        <v>5</v>
      </c>
      <c r="G146" s="16" t="s">
        <v>6</v>
      </c>
      <c r="H146" s="17" t="s">
        <v>7</v>
      </c>
      <c r="I146" s="17" t="s">
        <v>8</v>
      </c>
      <c r="K146" s="16" t="s">
        <v>9</v>
      </c>
      <c r="L146" s="16" t="s">
        <v>10</v>
      </c>
      <c r="M146" s="16" t="s">
        <v>11</v>
      </c>
      <c r="N146" s="16" t="s">
        <v>12</v>
      </c>
      <c r="O146" s="17" t="s">
        <v>13</v>
      </c>
      <c r="P146" s="2"/>
      <c r="R146" s="17" t="s">
        <v>14</v>
      </c>
      <c r="S146" s="19" t="s">
        <v>15</v>
      </c>
      <c r="T146" s="20" t="s">
        <v>16</v>
      </c>
      <c r="U146" s="20" t="s">
        <v>17</v>
      </c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1"/>
      <c r="K147" s="2"/>
      <c r="L147" s="2"/>
      <c r="M147" s="2"/>
      <c r="N147" s="2"/>
      <c r="O147" s="2"/>
      <c r="P147" s="2"/>
      <c r="R147" s="2"/>
      <c r="S147" s="21"/>
      <c r="T147" s="26"/>
      <c r="U147" s="22"/>
    </row>
    <row r="148">
      <c r="A148" s="40" t="s">
        <v>133</v>
      </c>
      <c r="B148" s="27">
        <v>14</v>
      </c>
      <c r="C148" s="24">
        <v>1</v>
      </c>
      <c r="D148" s="24">
        <v>3</v>
      </c>
      <c r="E148" s="24">
        <v>2.1499999999999999</v>
      </c>
      <c r="F148" s="24">
        <f t="shared" si="18"/>
        <v>7.441860465116279</v>
      </c>
      <c r="G148" s="24"/>
      <c r="H148" s="24">
        <f t="shared" si="19"/>
        <v>39.847117010859158</v>
      </c>
      <c r="I148" s="25">
        <f t="shared" si="20"/>
        <v>1</v>
      </c>
      <c r="J148" s="1"/>
      <c r="K148" s="27">
        <v>225</v>
      </c>
      <c r="L148" s="24">
        <v>2</v>
      </c>
      <c r="M148" s="24">
        <v>0.059999999999999998</v>
      </c>
      <c r="N148" s="24">
        <f t="shared" si="21"/>
        <v>252.00000000000003</v>
      </c>
      <c r="O148" s="25">
        <f t="shared" si="22"/>
        <v>45.761625256304164</v>
      </c>
      <c r="P148" s="26"/>
      <c r="R148" s="53">
        <v>46</v>
      </c>
      <c r="S148" s="54">
        <f t="shared" ref="S148:S155" si="24">($H148+$O148+$R148)*$I148*0.8</f>
        <v>105.28699381373067</v>
      </c>
      <c r="T148" s="28">
        <v>2</v>
      </c>
      <c r="U148" s="30">
        <v>3</v>
      </c>
    </row>
    <row r="149">
      <c r="A149" s="40" t="s">
        <v>134</v>
      </c>
      <c r="B149" s="33">
        <v>14</v>
      </c>
      <c r="C149" s="26">
        <v>1</v>
      </c>
      <c r="D149" s="26">
        <v>3</v>
      </c>
      <c r="E149" s="26">
        <v>2.1499999999999999</v>
      </c>
      <c r="F149" s="26">
        <f t="shared" si="18"/>
        <v>7.441860465116279</v>
      </c>
      <c r="G149" s="26"/>
      <c r="H149" s="26">
        <f t="shared" si="19"/>
        <v>39.847117010859158</v>
      </c>
      <c r="I149" s="31">
        <f t="shared" si="20"/>
        <v>1</v>
      </c>
      <c r="J149" s="1"/>
      <c r="K149" s="33">
        <v>225</v>
      </c>
      <c r="L149" s="26">
        <v>2</v>
      </c>
      <c r="M149" s="26">
        <v>0.059999999999999998</v>
      </c>
      <c r="N149" s="26">
        <f t="shared" si="21"/>
        <v>252.00000000000003</v>
      </c>
      <c r="O149" s="31">
        <f t="shared" si="22"/>
        <v>45.761625256304164</v>
      </c>
      <c r="P149" s="26"/>
      <c r="R149" s="33">
        <v>71</v>
      </c>
      <c r="S149" s="34">
        <f t="shared" si="24"/>
        <v>125.28699381373067</v>
      </c>
      <c r="T149" s="48">
        <v>3</v>
      </c>
      <c r="U149" s="39">
        <v>4</v>
      </c>
    </row>
    <row r="150">
      <c r="A150" s="40" t="s">
        <v>135</v>
      </c>
      <c r="B150" s="27">
        <v>12</v>
      </c>
      <c r="C150" s="24">
        <v>1</v>
      </c>
      <c r="D150" s="24">
        <v>2</v>
      </c>
      <c r="E150" s="24">
        <v>2.1499999999999999</v>
      </c>
      <c r="F150" s="24">
        <f t="shared" si="18"/>
        <v>6.279069767441861</v>
      </c>
      <c r="G150" s="24">
        <v>600</v>
      </c>
      <c r="H150" s="24">
        <f t="shared" si="19"/>
        <v>33.62100497791242</v>
      </c>
      <c r="I150" s="25">
        <f t="shared" si="20"/>
        <v>1.0257633587786259</v>
      </c>
      <c r="J150" s="1"/>
      <c r="K150" s="27">
        <v>220</v>
      </c>
      <c r="L150" s="24">
        <v>1</v>
      </c>
      <c r="M150" s="24">
        <v>0.059999999999999998</v>
      </c>
      <c r="N150" s="24">
        <f t="shared" si="21"/>
        <v>233.20000000000002</v>
      </c>
      <c r="O150" s="25">
        <f t="shared" si="22"/>
        <v>42.347662737183057</v>
      </c>
      <c r="P150" s="26"/>
      <c r="R150" s="27">
        <v>21</v>
      </c>
      <c r="S150" s="28">
        <f t="shared" si="24"/>
        <v>79.57352503337988</v>
      </c>
      <c r="T150" s="28">
        <v>3</v>
      </c>
      <c r="U150" s="30">
        <v>0</v>
      </c>
    </row>
    <row r="151">
      <c r="A151" s="40" t="s">
        <v>136</v>
      </c>
      <c r="B151" s="36">
        <v>12</v>
      </c>
      <c r="C151" s="35">
        <v>1</v>
      </c>
      <c r="D151" s="35">
        <v>2</v>
      </c>
      <c r="E151" s="35">
        <v>0.94999999999999996</v>
      </c>
      <c r="F151" s="35">
        <f t="shared" si="18"/>
        <v>14.210526315789474</v>
      </c>
      <c r="G151" s="35">
        <v>710</v>
      </c>
      <c r="H151" s="35">
        <f t="shared" si="19"/>
        <v>76.08964284474915</v>
      </c>
      <c r="I151" s="37">
        <f t="shared" si="20"/>
        <v>1.0721137569123125</v>
      </c>
      <c r="J151" s="1"/>
      <c r="K151" s="36">
        <v>330</v>
      </c>
      <c r="L151" s="35">
        <v>3</v>
      </c>
      <c r="M151" s="35">
        <v>0.059999999999999998</v>
      </c>
      <c r="N151" s="35">
        <f t="shared" si="21"/>
        <v>389.39999999999998</v>
      </c>
      <c r="O151" s="37">
        <f t="shared" si="22"/>
        <v>70.712606646050943</v>
      </c>
      <c r="P151" s="26"/>
      <c r="R151" s="36">
        <v>22</v>
      </c>
      <c r="S151" s="38">
        <f t="shared" si="24"/>
        <v>144.78017110146493</v>
      </c>
      <c r="T151" s="38">
        <v>4</v>
      </c>
      <c r="U151" s="39">
        <v>0</v>
      </c>
    </row>
    <row r="152">
      <c r="A152" s="40" t="s">
        <v>137</v>
      </c>
      <c r="B152" s="36">
        <v>0</v>
      </c>
      <c r="C152" s="35">
        <v>1</v>
      </c>
      <c r="D152" s="35">
        <v>1</v>
      </c>
      <c r="E152" s="35">
        <v>9999</v>
      </c>
      <c r="F152" s="35">
        <f t="shared" si="18"/>
        <v>0.00010001000100010001</v>
      </c>
      <c r="G152" s="35"/>
      <c r="H152" s="35">
        <f t="shared" si="19"/>
        <v>0.00053549918475189514</v>
      </c>
      <c r="I152" s="37">
        <f t="shared" si="20"/>
        <v>1</v>
      </c>
      <c r="J152" s="1"/>
      <c r="K152" s="36">
        <v>115</v>
      </c>
      <c r="L152" s="35">
        <v>0</v>
      </c>
      <c r="M152" s="35">
        <v>0.059999999999999998</v>
      </c>
      <c r="N152" s="35">
        <f t="shared" si="21"/>
        <v>115</v>
      </c>
      <c r="O152" s="37">
        <f t="shared" si="22"/>
        <v>20.883281366964201</v>
      </c>
      <c r="P152" s="26"/>
      <c r="R152" s="36">
        <v>16</v>
      </c>
      <c r="S152" s="38">
        <f t="shared" si="24"/>
        <v>29.507053492919166</v>
      </c>
      <c r="T152" s="38">
        <v>1</v>
      </c>
      <c r="U152" s="39">
        <v>0</v>
      </c>
    </row>
    <row r="153">
      <c r="A153" s="40" t="s">
        <v>138</v>
      </c>
      <c r="B153" s="36">
        <v>7</v>
      </c>
      <c r="C153" s="35">
        <v>1</v>
      </c>
      <c r="D153" s="35">
        <v>2</v>
      </c>
      <c r="E153" s="35">
        <v>1.8999999999999999</v>
      </c>
      <c r="F153" s="35">
        <f t="shared" si="18"/>
        <v>4.4736842105263159</v>
      </c>
      <c r="G153" s="35">
        <v>700</v>
      </c>
      <c r="H153" s="35">
        <f t="shared" si="19"/>
        <v>23.954146821495105</v>
      </c>
      <c r="I153" s="37">
        <f t="shared" si="20"/>
        <v>1.0213223436660097</v>
      </c>
      <c r="J153" s="1"/>
      <c r="K153" s="36">
        <v>150</v>
      </c>
      <c r="L153" s="35">
        <v>2</v>
      </c>
      <c r="M153" s="35">
        <v>0.059999999999999998</v>
      </c>
      <c r="N153" s="35">
        <f t="shared" si="21"/>
        <v>168.00000000000003</v>
      </c>
      <c r="O153" s="37">
        <f t="shared" si="22"/>
        <v>30.507750170869446</v>
      </c>
      <c r="P153" s="26"/>
      <c r="R153" s="36">
        <f>H153*3.5+45</f>
        <v>128.83951387523285</v>
      </c>
      <c r="S153" s="38">
        <f t="shared" si="24"/>
        <v>149.76786123566464</v>
      </c>
      <c r="T153" s="38">
        <v>3</v>
      </c>
      <c r="U153" s="39">
        <v>2</v>
      </c>
    </row>
    <row r="154">
      <c r="A154" s="40" t="s">
        <v>139</v>
      </c>
      <c r="B154" s="36">
        <v>18</v>
      </c>
      <c r="C154" s="35">
        <v>1</v>
      </c>
      <c r="D154" s="35">
        <v>4</v>
      </c>
      <c r="E154" s="35">
        <v>2.1499999999999999</v>
      </c>
      <c r="F154" s="35">
        <f t="shared" si="18"/>
        <v>9.5348837209302335</v>
      </c>
      <c r="G154" s="35"/>
      <c r="H154" s="35">
        <f t="shared" si="19"/>
        <v>51.054118670163305</v>
      </c>
      <c r="I154" s="37">
        <f t="shared" si="20"/>
        <v>1</v>
      </c>
      <c r="J154" s="1"/>
      <c r="K154" s="36">
        <v>635</v>
      </c>
      <c r="L154" s="35">
        <v>3</v>
      </c>
      <c r="M154" s="35">
        <v>0.059999999999999998</v>
      </c>
      <c r="N154" s="35">
        <f t="shared" si="21"/>
        <v>749.29999999999995</v>
      </c>
      <c r="O154" s="37">
        <f t="shared" si="22"/>
        <v>136.06819763709802</v>
      </c>
      <c r="P154" s="26"/>
      <c r="R154" s="36">
        <v>26</v>
      </c>
      <c r="S154" s="38">
        <f t="shared" si="24"/>
        <v>170.49785304580905</v>
      </c>
      <c r="T154" s="38">
        <v>3</v>
      </c>
      <c r="U154" s="39">
        <v>1</v>
      </c>
    </row>
    <row r="155">
      <c r="A155" s="40" t="s">
        <v>140</v>
      </c>
      <c r="B155" s="36">
        <v>16</v>
      </c>
      <c r="C155" s="35">
        <v>1</v>
      </c>
      <c r="D155" s="35">
        <v>3</v>
      </c>
      <c r="E155" s="35">
        <v>1.75</v>
      </c>
      <c r="F155" s="35">
        <f t="shared" si="18"/>
        <v>10.285714285714286</v>
      </c>
      <c r="G155" s="35">
        <v>520</v>
      </c>
      <c r="H155" s="35">
        <f t="shared" si="19"/>
        <v>55.07440815429463</v>
      </c>
      <c r="I155" s="37">
        <f t="shared" si="20"/>
        <v>1.0369755866319033</v>
      </c>
      <c r="J155" s="1"/>
      <c r="K155" s="36">
        <v>290</v>
      </c>
      <c r="L155" s="35">
        <v>2</v>
      </c>
      <c r="M155" s="35">
        <v>0.059999999999999998</v>
      </c>
      <c r="N155" s="35">
        <f t="shared" si="21"/>
        <v>324.80000000000001</v>
      </c>
      <c r="O155" s="37">
        <f t="shared" si="22"/>
        <v>58.981650330347584</v>
      </c>
      <c r="P155" s="26"/>
      <c r="R155" s="36">
        <v>37</v>
      </c>
      <c r="S155" s="38">
        <f t="shared" si="24"/>
        <v>125.31315588913196</v>
      </c>
      <c r="T155" s="38">
        <v>3</v>
      </c>
      <c r="U155" s="39">
        <v>0</v>
      </c>
    </row>
    <row r="157">
      <c r="A157" s="40" t="s">
        <v>141</v>
      </c>
      <c r="B157" s="27">
        <v>14</v>
      </c>
      <c r="C157" s="24">
        <v>1</v>
      </c>
      <c r="D157" s="24">
        <v>3</v>
      </c>
      <c r="E157" s="24">
        <v>1.8</v>
      </c>
      <c r="F157" s="24">
        <f t="shared" si="18"/>
        <v>8.8888888888888893</v>
      </c>
      <c r="G157" s="24"/>
      <c r="H157" s="24">
        <f t="shared" si="19"/>
        <v>47.595167540748442</v>
      </c>
      <c r="I157" s="25">
        <f t="shared" si="20"/>
        <v>1</v>
      </c>
      <c r="J157" s="1"/>
      <c r="K157" s="33">
        <v>215</v>
      </c>
      <c r="L157" s="26">
        <v>1</v>
      </c>
      <c r="M157" s="26">
        <v>0.059999999999999998</v>
      </c>
      <c r="N157" s="26">
        <f t="shared" si="21"/>
        <v>227.90000000000001</v>
      </c>
      <c r="O157" s="31">
        <f t="shared" si="22"/>
        <v>41.385215856792534</v>
      </c>
      <c r="Q157" s="53">
        <v>30</v>
      </c>
      <c r="R157" s="33">
        <f>(H157)*0.04</f>
        <v>1.9038067016299376</v>
      </c>
      <c r="S157" s="34">
        <f t="shared" ref="S157:S167" si="25">($H157+$O157+$Q157+$R157)*$I157*0.8</f>
        <v>96.707352079336729</v>
      </c>
      <c r="T157" s="34">
        <v>6</v>
      </c>
      <c r="U157" s="34">
        <v>5</v>
      </c>
    </row>
    <row r="158">
      <c r="A158" s="40" t="s">
        <v>142</v>
      </c>
      <c r="B158" s="33">
        <v>16</v>
      </c>
      <c r="C158" s="26">
        <v>1</v>
      </c>
      <c r="D158" s="26">
        <v>3</v>
      </c>
      <c r="E158" s="26">
        <v>1.8</v>
      </c>
      <c r="F158" s="26">
        <f t="shared" si="18"/>
        <v>10</v>
      </c>
      <c r="G158" s="26"/>
      <c r="H158" s="26">
        <f t="shared" si="19"/>
        <v>53.544563483341996</v>
      </c>
      <c r="I158" s="31">
        <f t="shared" si="20"/>
        <v>1</v>
      </c>
      <c r="J158" s="1"/>
      <c r="K158" s="33">
        <v>240</v>
      </c>
      <c r="L158" s="26">
        <v>1</v>
      </c>
      <c r="M158" s="26">
        <v>0.059999999999999998</v>
      </c>
      <c r="N158" s="26">
        <f t="shared" si="21"/>
        <v>254.40000000000001</v>
      </c>
      <c r="O158" s="31">
        <f t="shared" si="22"/>
        <v>46.197450258745157</v>
      </c>
      <c r="Q158" s="33">
        <v>60</v>
      </c>
      <c r="R158" s="33">
        <f>(H158)*0.08</f>
        <v>4.28356507866736</v>
      </c>
      <c r="S158" s="34">
        <f t="shared" si="25"/>
        <v>131.22046305660362</v>
      </c>
      <c r="T158" s="34">
        <v>6</v>
      </c>
      <c r="U158" s="34">
        <v>5</v>
      </c>
    </row>
    <row r="159">
      <c r="A159" s="40" t="s">
        <v>143</v>
      </c>
      <c r="B159" s="33">
        <v>18</v>
      </c>
      <c r="C159" s="26">
        <v>1</v>
      </c>
      <c r="D159" s="26">
        <v>3</v>
      </c>
      <c r="E159" s="26">
        <v>1.8</v>
      </c>
      <c r="F159" s="26">
        <f t="shared" si="18"/>
        <v>11.111111111111111</v>
      </c>
      <c r="G159" s="26"/>
      <c r="H159" s="26">
        <f t="shared" si="19"/>
        <v>59.49395942593555</v>
      </c>
      <c r="I159" s="31">
        <f t="shared" si="20"/>
        <v>1</v>
      </c>
      <c r="J159" s="1"/>
      <c r="K159" s="33">
        <v>265</v>
      </c>
      <c r="L159" s="26">
        <v>2</v>
      </c>
      <c r="M159" s="26">
        <v>0.059999999999999998</v>
      </c>
      <c r="N159" s="26">
        <f t="shared" si="21"/>
        <v>296.80000000000001</v>
      </c>
      <c r="O159" s="31">
        <f t="shared" si="22"/>
        <v>53.897025301869348</v>
      </c>
      <c r="Q159" s="33">
        <v>90</v>
      </c>
      <c r="R159" s="33">
        <f>(H159)*0.12</f>
        <v>7.1392751311122655</v>
      </c>
      <c r="S159" s="34">
        <f t="shared" si="25"/>
        <v>168.42420788713375</v>
      </c>
      <c r="T159" s="34">
        <v>6</v>
      </c>
      <c r="U159" s="34">
        <v>5</v>
      </c>
    </row>
    <row r="160">
      <c r="A160" s="40" t="s">
        <v>144</v>
      </c>
      <c r="B160" s="33">
        <v>20</v>
      </c>
      <c r="C160" s="26">
        <v>1</v>
      </c>
      <c r="D160" s="26">
        <v>3</v>
      </c>
      <c r="E160" s="26">
        <v>1.8</v>
      </c>
      <c r="F160" s="26">
        <f t="shared" si="18"/>
        <v>12.222222222222221</v>
      </c>
      <c r="G160" s="26"/>
      <c r="H160" s="26">
        <f t="shared" si="19"/>
        <v>65.443355368529097</v>
      </c>
      <c r="I160" s="31">
        <f t="shared" si="20"/>
        <v>1</v>
      </c>
      <c r="J160" s="1"/>
      <c r="K160" s="33">
        <v>290</v>
      </c>
      <c r="L160" s="26">
        <v>2</v>
      </c>
      <c r="M160" s="26">
        <v>0.059999999999999998</v>
      </c>
      <c r="N160" s="26">
        <f t="shared" si="21"/>
        <v>324.80000000000001</v>
      </c>
      <c r="O160" s="31">
        <f t="shared" si="22"/>
        <v>58.981650330347584</v>
      </c>
      <c r="Q160" s="33">
        <v>120</v>
      </c>
      <c r="R160" s="33">
        <f>(H160)*0.16</f>
        <v>10.470936858964656</v>
      </c>
      <c r="S160" s="34">
        <f t="shared" si="25"/>
        <v>203.91675404627307</v>
      </c>
      <c r="T160" s="34">
        <v>6</v>
      </c>
      <c r="U160" s="34">
        <v>5</v>
      </c>
    </row>
    <row r="161">
      <c r="A161" s="40" t="s">
        <v>145</v>
      </c>
      <c r="B161" s="33">
        <v>22</v>
      </c>
      <c r="C161" s="26">
        <v>1</v>
      </c>
      <c r="D161" s="26">
        <v>3</v>
      </c>
      <c r="E161" s="26">
        <v>1.8</v>
      </c>
      <c r="F161" s="26">
        <f t="shared" si="18"/>
        <v>13.333333333333332</v>
      </c>
      <c r="G161" s="26"/>
      <c r="H161" s="26">
        <f t="shared" si="19"/>
        <v>71.392751311122652</v>
      </c>
      <c r="I161" s="31">
        <f t="shared" si="20"/>
        <v>1</v>
      </c>
      <c r="J161" s="1"/>
      <c r="K161" s="33">
        <v>315</v>
      </c>
      <c r="L161" s="26">
        <v>2</v>
      </c>
      <c r="M161" s="26">
        <v>0.059999999999999998</v>
      </c>
      <c r="N161" s="26">
        <f t="shared" si="21"/>
        <v>352.80000000000001</v>
      </c>
      <c r="O161" s="31">
        <f t="shared" si="22"/>
        <v>64.06627535882582</v>
      </c>
      <c r="Q161" s="33">
        <v>150</v>
      </c>
      <c r="R161" s="33">
        <f>(H161)*0.2</f>
        <v>14.278550262224531</v>
      </c>
      <c r="S161" s="34">
        <f t="shared" si="25"/>
        <v>239.79006154573841</v>
      </c>
      <c r="T161" s="34">
        <v>6</v>
      </c>
      <c r="U161" s="34">
        <v>5</v>
      </c>
    </row>
    <row r="162">
      <c r="A162" s="40" t="s">
        <v>146</v>
      </c>
      <c r="B162" s="33">
        <v>24</v>
      </c>
      <c r="C162" s="26">
        <v>1</v>
      </c>
      <c r="D162" s="26">
        <v>3</v>
      </c>
      <c r="E162" s="26">
        <v>1.8</v>
      </c>
      <c r="F162" s="26">
        <f t="shared" si="18"/>
        <v>14.444444444444445</v>
      </c>
      <c r="G162" s="26">
        <v>500</v>
      </c>
      <c r="H162" s="26">
        <f t="shared" si="19"/>
        <v>77.34214725371622</v>
      </c>
      <c r="I162" s="31">
        <f t="shared" si="20"/>
        <v>1.0505836575875485</v>
      </c>
      <c r="J162" s="1"/>
      <c r="K162" s="33">
        <v>340</v>
      </c>
      <c r="L162" s="26">
        <v>3</v>
      </c>
      <c r="M162" s="26">
        <v>0.059999999999999998</v>
      </c>
      <c r="N162" s="26">
        <f t="shared" si="21"/>
        <v>401.19999999999999</v>
      </c>
      <c r="O162" s="31">
        <f t="shared" si="22"/>
        <v>72.8554129080525</v>
      </c>
      <c r="Q162" s="33">
        <v>180</v>
      </c>
      <c r="R162" s="33">
        <f>(H162)*0.24</f>
        <v>18.562115340891893</v>
      </c>
      <c r="S162" s="34">
        <f t="shared" si="25"/>
        <v>293.12097240690531</v>
      </c>
      <c r="T162" s="34">
        <v>6</v>
      </c>
      <c r="U162" s="34">
        <v>5</v>
      </c>
    </row>
    <row r="163">
      <c r="A163" s="40" t="s">
        <v>147</v>
      </c>
      <c r="B163" s="33">
        <v>26</v>
      </c>
      <c r="C163" s="26">
        <v>1</v>
      </c>
      <c r="D163" s="26">
        <v>3</v>
      </c>
      <c r="E163" s="26">
        <v>1.8</v>
      </c>
      <c r="F163" s="26">
        <f t="shared" si="18"/>
        <v>15.555555555555555</v>
      </c>
      <c r="G163" s="26">
        <v>500</v>
      </c>
      <c r="H163" s="26">
        <f t="shared" si="19"/>
        <v>83.291543196309775</v>
      </c>
      <c r="I163" s="31">
        <f t="shared" si="20"/>
        <v>1.0546875</v>
      </c>
      <c r="J163" s="1"/>
      <c r="K163" s="33">
        <v>365</v>
      </c>
      <c r="L163" s="26">
        <v>3</v>
      </c>
      <c r="M163" s="26">
        <v>0.059999999999999998</v>
      </c>
      <c r="N163" s="26">
        <f t="shared" si="21"/>
        <v>430.69999999999999</v>
      </c>
      <c r="O163" s="31">
        <f t="shared" si="22"/>
        <v>78.212428563056349</v>
      </c>
      <c r="Q163" s="33">
        <v>210</v>
      </c>
      <c r="R163" s="33">
        <f>(H163)*0.28</f>
        <v>23.321632094966738</v>
      </c>
      <c r="S163" s="34">
        <f t="shared" si="25"/>
        <v>333.13410325209338</v>
      </c>
      <c r="T163" s="34">
        <v>6</v>
      </c>
      <c r="U163" s="34">
        <v>5</v>
      </c>
    </row>
    <row r="164">
      <c r="A164" s="40" t="s">
        <v>148</v>
      </c>
      <c r="B164" s="33">
        <v>28</v>
      </c>
      <c r="C164" s="26">
        <v>1</v>
      </c>
      <c r="D164" s="26">
        <v>3</v>
      </c>
      <c r="E164" s="26">
        <v>1.8</v>
      </c>
      <c r="F164" s="26">
        <f t="shared" ref="F164:F167" si="26">(2*B164+C164+D164)/(E164*2)</f>
        <v>16.666666666666668</v>
      </c>
      <c r="G164" s="26">
        <v>500</v>
      </c>
      <c r="H164" s="26">
        <f t="shared" ref="H164:H167" si="27">F164*5.3544563483342</f>
        <v>89.240939138903329</v>
      </c>
      <c r="I164" s="31">
        <f t="shared" ref="I164:I167" si="28">(500/F164)/((500/F164)-(G164/300))</f>
        <v>1.0588235294117647</v>
      </c>
      <c r="J164" s="1"/>
      <c r="K164" s="33">
        <v>390</v>
      </c>
      <c r="L164" s="26">
        <v>3</v>
      </c>
      <c r="M164" s="26">
        <v>0.059999999999999998</v>
      </c>
      <c r="N164" s="26">
        <f t="shared" ref="N164:N167" si="29">K164*(L164*M164+1)</f>
        <v>460.19999999999999</v>
      </c>
      <c r="O164" s="31">
        <f t="shared" ref="O164:O167" si="30">N164*0.18159375101708</f>
        <v>83.569444218060212</v>
      </c>
      <c r="Q164" s="33">
        <v>240</v>
      </c>
      <c r="R164" s="33">
        <f>(H164)*0.32</f>
        <v>28.557100524449066</v>
      </c>
      <c r="S164" s="34">
        <f t="shared" si="25"/>
        <v>373.86422164072604</v>
      </c>
      <c r="T164" s="34">
        <v>6</v>
      </c>
      <c r="U164" s="34">
        <v>5</v>
      </c>
    </row>
    <row r="165">
      <c r="A165" s="40" t="s">
        <v>149</v>
      </c>
      <c r="B165" s="33">
        <v>30</v>
      </c>
      <c r="C165" s="26">
        <v>1</v>
      </c>
      <c r="D165" s="26">
        <v>3</v>
      </c>
      <c r="E165" s="26">
        <v>1.8</v>
      </c>
      <c r="F165" s="26">
        <f t="shared" si="26"/>
        <v>17.777777777777779</v>
      </c>
      <c r="G165" s="26">
        <v>500</v>
      </c>
      <c r="H165" s="26">
        <f t="shared" si="27"/>
        <v>95.190335081496883</v>
      </c>
      <c r="I165" s="31">
        <f t="shared" si="28"/>
        <v>1.0629921259842521</v>
      </c>
      <c r="J165" s="1"/>
      <c r="K165" s="33">
        <v>415</v>
      </c>
      <c r="L165" s="26">
        <v>4</v>
      </c>
      <c r="M165" s="26">
        <v>0.059999999999999998</v>
      </c>
      <c r="N165" s="26">
        <f t="shared" si="29"/>
        <v>514.60000000000002</v>
      </c>
      <c r="O165" s="31">
        <f t="shared" si="30"/>
        <v>93.448144273389374</v>
      </c>
      <c r="Q165" s="33">
        <v>270</v>
      </c>
      <c r="R165" s="33">
        <f t="shared" ref="R165:R166" si="31">(H165)*0.36</f>
        <v>34.26852062933888</v>
      </c>
      <c r="S165" s="34">
        <f t="shared" si="25"/>
        <v>419.16500786060101</v>
      </c>
      <c r="T165" s="34">
        <v>6</v>
      </c>
      <c r="U165" s="34">
        <v>5</v>
      </c>
    </row>
    <row r="166">
      <c r="A166" s="40" t="s">
        <v>150</v>
      </c>
      <c r="B166" s="33">
        <v>32</v>
      </c>
      <c r="C166" s="26">
        <v>1</v>
      </c>
      <c r="D166" s="26">
        <v>3</v>
      </c>
      <c r="E166" s="26">
        <v>1.8</v>
      </c>
      <c r="F166" s="26">
        <f t="shared" si="26"/>
        <v>18.888888888888889</v>
      </c>
      <c r="G166" s="26">
        <v>500</v>
      </c>
      <c r="H166" s="26">
        <f t="shared" si="27"/>
        <v>101.13973102409044</v>
      </c>
      <c r="I166" s="31">
        <f t="shared" si="28"/>
        <v>1.0671936758893281</v>
      </c>
      <c r="J166" s="1"/>
      <c r="K166" s="33">
        <v>440</v>
      </c>
      <c r="L166" s="26">
        <v>4</v>
      </c>
      <c r="M166" s="26">
        <v>0.059999999999999998</v>
      </c>
      <c r="N166" s="26">
        <f t="shared" si="29"/>
        <v>545.60000000000002</v>
      </c>
      <c r="O166" s="31">
        <f t="shared" si="30"/>
        <v>99.077550554918858</v>
      </c>
      <c r="Q166" s="33">
        <v>300</v>
      </c>
      <c r="R166" s="33">
        <f t="shared" si="31"/>
        <v>36.410303168672556</v>
      </c>
      <c r="S166" s="34">
        <f t="shared" si="25"/>
        <v>458.14845180039242</v>
      </c>
      <c r="T166" s="34">
        <v>6</v>
      </c>
      <c r="U166" s="34">
        <v>5</v>
      </c>
    </row>
    <row r="167">
      <c r="A167" s="40" t="s">
        <v>151</v>
      </c>
      <c r="B167" s="36">
        <v>34</v>
      </c>
      <c r="C167" s="35">
        <v>1</v>
      </c>
      <c r="D167" s="35">
        <v>3</v>
      </c>
      <c r="E167" s="35">
        <v>1.8</v>
      </c>
      <c r="F167" s="35">
        <f t="shared" si="26"/>
        <v>20</v>
      </c>
      <c r="G167" s="35">
        <v>500</v>
      </c>
      <c r="H167" s="35">
        <f t="shared" si="27"/>
        <v>107.08912696668399</v>
      </c>
      <c r="I167" s="37">
        <f t="shared" si="28"/>
        <v>1.0714285714285714</v>
      </c>
      <c r="J167" s="1"/>
      <c r="K167" s="36">
        <v>465</v>
      </c>
      <c r="L167" s="35">
        <v>5</v>
      </c>
      <c r="M167" s="35">
        <v>0.059999999999999998</v>
      </c>
      <c r="N167" s="35">
        <f t="shared" si="29"/>
        <v>604.5</v>
      </c>
      <c r="O167" s="37">
        <f t="shared" si="30"/>
        <v>109.77342248982487</v>
      </c>
      <c r="Q167" s="41">
        <v>330</v>
      </c>
      <c r="R167" s="41">
        <f>(H167)*0.4</f>
        <v>42.835650786673597</v>
      </c>
      <c r="S167" s="38">
        <f t="shared" si="25"/>
        <v>505.45560020844209</v>
      </c>
      <c r="T167" s="38">
        <v>6</v>
      </c>
      <c r="U167" s="38">
        <v>5</v>
      </c>
    </row>
  </sheetData>
  <mergeCells count="3">
    <mergeCell ref="B1:I1"/>
    <mergeCell ref="K1:O1"/>
    <mergeCell ref="Q1:R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priority="3250" id="{00EB0026-0014-4128-A3A4-0033000B0003}">
            <x14:dataBar maxLength="90" minLength="10" axisPosition="automatic" direction="context">
              <x14:cfvo type="min"/>
              <x14:cfvo type="max"/>
              <x14:fillColor rgb="FF63C384"/>
            </x14:dataBar>
          </x14:cfRule>
          <xm:sqref>N148:N152 N154:N155 N157:N167</xm:sqref>
        </x14:conditionalFormatting>
        <x14:conditionalFormatting xmlns:xm="http://schemas.microsoft.com/office/excel/2006/main">
          <x14:cfRule type="dataBar" priority="3246" id="{00A90070-0016-479C-A466-0024002100CC}">
            <x14:dataBar maxLength="90" minLength="10" axisPosition="automatic" direction="context">
              <x14:cfvo type="min"/>
              <x14:cfvo type="max"/>
              <x14:fillColor rgb="FFFF555A"/>
            </x14:dataBar>
          </x14:cfRule>
          <xm:sqref>F148:F152 F154:F155 F157:F167</xm:sqref>
        </x14:conditionalFormatting>
        <x14:conditionalFormatting xmlns:xm="http://schemas.microsoft.com/office/excel/2006/main">
          <x14:cfRule type="dataBar" priority="3242" id="{00910037-00E2-4B3C-A090-002400850031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T148:U152 T154:U155 T157:U167</xm:sqref>
        </x14:conditionalFormatting>
        <x14:conditionalFormatting xmlns:xm="http://schemas.microsoft.com/office/excel/2006/main">
          <x14:cfRule type="dataBar" priority="3238" id="{00400076-00CB-4C3C-9545-00450025008B}">
            <x14:dataBar maxLength="90" minLength="10" axisPosition="automatic" direction="context">
              <x14:cfvo type="min"/>
              <x14:cfvo type="max"/>
              <x14:fillColor rgb="FFFFB628"/>
            </x14:dataBar>
          </x14:cfRule>
          <xm:sqref>S148:S152 S154:S155 S157:S167</xm:sqref>
        </x14:conditionalFormatting>
        <x14:conditionalFormatting xmlns:xm="http://schemas.microsoft.com/office/excel/2006/main">
          <x14:cfRule type="dataBar" priority="3235" id="{008B00EA-0033-4EBE-90BF-000D00AA00D6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U148:U152 U154 U157:U167</xm:sqref>
        </x14:conditionalFormatting>
        <x14:conditionalFormatting xmlns:xm="http://schemas.microsoft.com/office/excel/2006/main">
          <x14:cfRule type="dataBar" priority="3230" id="{0055009A-00C8-4E24-991E-0057000E0055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T148:T152 T154 T157:T167</xm:sqref>
        </x14:conditionalFormatting>
        <x14:conditionalFormatting xmlns:xm="http://schemas.microsoft.com/office/excel/2006/main">
          <x14:cfRule type="dataBar" priority="3229" id="{002C001A-0080-40A1-A671-004800BF004D}">
            <x14:dataBar maxLength="90" minLength="10" axisPosition="automatic" direction="context">
              <x14:cfvo type="num">
                <xm:f>0</xm:f>
              </x14:cfvo>
              <x14:cfvo type="max"/>
              <x14:fillColor rgb="FF008AEF"/>
            </x14:dataBar>
          </x14:cfRule>
          <xm:sqref>T148:T152 T154 T157:T167</xm:sqref>
        </x14:conditionalFormatting>
        <x14:conditionalFormatting xmlns:xm="http://schemas.microsoft.com/office/excel/2006/main">
          <x14:cfRule type="dataBar" priority="3220" id="{00010022-008F-472A-9004-0019005F00A5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F148:F152 F154 F157:F167</xm:sqref>
        </x14:conditionalFormatting>
        <x14:conditionalFormatting xmlns:xm="http://schemas.microsoft.com/office/excel/2006/main">
          <x14:cfRule type="dataBar" priority="3215" id="{00B80083-00EA-4163-92DF-0000002F0039}">
            <x14:dataBar maxLength="90" minLength="10" axisPosition="automatic" direction="context">
              <x14:cfvo type="min"/>
              <x14:cfvo type="max"/>
              <x14:fillColor rgb="FFFF555A"/>
            </x14:dataBar>
          </x14:cfRule>
          <xm:sqref>F151:F152 F154 F157:F167</xm:sqref>
        </x14:conditionalFormatting>
        <x14:conditionalFormatting xmlns:xm="http://schemas.microsoft.com/office/excel/2006/main">
          <x14:cfRule type="dataBar" priority="3214" id="{00F00073-0043-4AA2-B861-00A900DA00F9}">
            <x14:dataBar maxLength="90" minLength="10" axisPosition="automatic" direction="context">
              <x14:cfvo type="num">
                <xm:f>0</xm:f>
              </x14:cfvo>
              <x14:cfvo type="max"/>
              <x14:fillColor rgb="FFFF555A"/>
            </x14:dataBar>
          </x14:cfRule>
          <xm:sqref>F151:F152 F154 F157:F167</xm:sqref>
        </x14:conditionalFormatting>
        <x14:conditionalFormatting xmlns:xm="http://schemas.microsoft.com/office/excel/2006/main">
          <x14:cfRule type="dataBar" priority="3209" id="{00E100D0-0094-443B-AF99-007900BB0002}">
            <x14:dataBar maxLength="90" minLength="10" axisPosition="automatic" direction="context">
              <x14:cfvo type="min"/>
              <x14:cfvo type="max"/>
              <x14:fillColor rgb="FF63C384"/>
            </x14:dataBar>
          </x14:cfRule>
          <xm:sqref>N151:N152 N154 N157:N167</xm:sqref>
        </x14:conditionalFormatting>
        <x14:conditionalFormatting xmlns:xm="http://schemas.microsoft.com/office/excel/2006/main">
          <x14:cfRule type="dataBar" priority="3208" id="{00B2001F-00E5-4C78-BE46-00C300E900F3}">
            <x14:dataBar maxLength="90" minLength="10" axisPosition="automatic" direction="context">
              <x14:cfvo type="num">
                <xm:f>0</xm:f>
              </x14:cfvo>
              <x14:cfvo type="max"/>
              <x14:fillColor rgb="FF638EC6"/>
            </x14:dataBar>
          </x14:cfRule>
          <xm:sqref>N151:N152 N154 N157:N167</xm:sqref>
        </x14:conditionalFormatting>
        <x14:conditionalFormatting xmlns:xm="http://schemas.microsoft.com/office/excel/2006/main">
          <x14:cfRule type="dataBar" priority="3205" id="{0002002F-002D-4C09-A7B8-00AA001F0014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U151:U152 U154 U157:U167</xm:sqref>
        </x14:conditionalFormatting>
        <x14:conditionalFormatting xmlns:xm="http://schemas.microsoft.com/office/excel/2006/main">
          <x14:cfRule type="dataBar" priority="3202" id="{001E009A-0093-461C-84E8-002000D80007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U152 U154 U157:U167</xm:sqref>
        </x14:conditionalFormatting>
        <x14:conditionalFormatting xmlns:xm="http://schemas.microsoft.com/office/excel/2006/main">
          <x14:cfRule type="dataBar" priority="3199" id="{009B006B-0092-48A7-8AF7-00C20013004E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U152 U154 U157:U167</xm:sqref>
        </x14:conditionalFormatting>
        <x14:conditionalFormatting xmlns:xm="http://schemas.microsoft.com/office/excel/2006/main">
          <x14:cfRule type="dataBar" priority="3196" id="{002700A5-00D8-4F13-B671-00B9002E007B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U152 U154 U157:U167</xm:sqref>
        </x14:conditionalFormatting>
        <x14:conditionalFormatting xmlns:xm="http://schemas.microsoft.com/office/excel/2006/main">
          <x14:cfRule type="dataBar" priority="3184" id="{00840003-00CE-4A7C-89A3-009F004F00F7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U151:U152 U154 U157:U167</xm:sqref>
        </x14:conditionalFormatting>
        <x14:conditionalFormatting xmlns:xm="http://schemas.microsoft.com/office/excel/2006/main">
          <x14:cfRule type="dataBar" priority="3181" id="{000400E1-00C8-49B6-B16B-002E002300A7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U151:U152 U154 U157:U167</xm:sqref>
        </x14:conditionalFormatting>
        <x14:conditionalFormatting xmlns:xm="http://schemas.microsoft.com/office/excel/2006/main">
          <x14:cfRule type="dataBar" priority="3178" id="{00B0001E-00F9-4135-A22B-008E00A300DB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U151:U152 U154 U157:U167</xm:sqref>
        </x14:conditionalFormatting>
        <x14:conditionalFormatting xmlns:xm="http://schemas.microsoft.com/office/excel/2006/main">
          <x14:cfRule type="dataBar" priority="3175" id="{00A60062-0049-42AF-AE3E-00A400D70027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T151:T152 T154 T157:T167</xm:sqref>
        </x14:conditionalFormatting>
        <x14:conditionalFormatting xmlns:xm="http://schemas.microsoft.com/office/excel/2006/main">
          <x14:cfRule type="dataBar" priority="3172" id="{00760099-00A9-45CF-A165-00A600010099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T151:T152 T154 T157:T167</xm:sqref>
        </x14:conditionalFormatting>
        <x14:conditionalFormatting xmlns:xm="http://schemas.microsoft.com/office/excel/2006/main">
          <x14:cfRule type="dataBar" priority="3169" id="{006B0087-001B-478F-93FF-003900C700CC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T151:T152 T154 T157:T167</xm:sqref>
        </x14:conditionalFormatting>
        <x14:conditionalFormatting xmlns:xm="http://schemas.microsoft.com/office/excel/2006/main">
          <x14:cfRule type="dataBar" priority="3166" id="{003600A4-000C-400F-83AD-00EE001500BE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S151:S152 S154 S157:S167</xm:sqref>
        </x14:conditionalFormatting>
        <x14:conditionalFormatting xmlns:xm="http://schemas.microsoft.com/office/excel/2006/main">
          <x14:cfRule type="dataBar" priority="3163" id="{002B0038-00D3-4C92-A650-0071004800E3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S151:S152 S154 S157:S167</xm:sqref>
        </x14:conditionalFormatting>
        <x14:conditionalFormatting xmlns:xm="http://schemas.microsoft.com/office/excel/2006/main">
          <x14:cfRule type="dataBar" priority="3158" id="{0054001A-00DA-4888-97E9-004000DE00D4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U148 U150 U152 U154 U157:U167</xm:sqref>
        </x14:conditionalFormatting>
        <x14:conditionalFormatting xmlns:xm="http://schemas.microsoft.com/office/excel/2006/main">
          <x14:cfRule type="dataBar" priority="3153" id="{002D009C-005E-4C6E-8FF0-00D7005300A1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U148 U150 U152 U154 U157:U167</xm:sqref>
        </x14:conditionalFormatting>
        <x14:conditionalFormatting xmlns:xm="http://schemas.microsoft.com/office/excel/2006/main">
          <x14:cfRule type="dataBar" priority="3148" id="{007900B9-00C5-4E96-A016-0021008A0073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U148 U150 U152 U154 U157:U167</xm:sqref>
        </x14:conditionalFormatting>
        <x14:conditionalFormatting xmlns:xm="http://schemas.microsoft.com/office/excel/2006/main">
          <x14:cfRule type="dataBar" priority="3143" id="{00D100CB-0043-40FD-A3CC-000B002A000E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T148 T150 T152 T154 T157:T167</xm:sqref>
        </x14:conditionalFormatting>
        <x14:conditionalFormatting xmlns:xm="http://schemas.microsoft.com/office/excel/2006/main">
          <x14:cfRule type="dataBar" priority="3138" id="{008700FE-008E-44E5-81CB-0074000B0021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T148 T150 T152 T154 T157:T167</xm:sqref>
        </x14:conditionalFormatting>
        <x14:conditionalFormatting xmlns:xm="http://schemas.microsoft.com/office/excel/2006/main">
          <x14:cfRule type="dataBar" priority="3133" id="{00A6007D-0054-4333-8D2E-00B800D500E2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T148 T150 T152 T154 T157:T167</xm:sqref>
        </x14:conditionalFormatting>
        <x14:conditionalFormatting xmlns:xm="http://schemas.microsoft.com/office/excel/2006/main">
          <x14:cfRule type="dataBar" priority="3128" id="{007200ED-00E2-4264-9179-0029009E00DE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S148 S150 S152 S154 S157:S167</xm:sqref>
        </x14:conditionalFormatting>
        <x14:conditionalFormatting xmlns:xm="http://schemas.microsoft.com/office/excel/2006/main">
          <x14:cfRule type="dataBar" priority="3123" id="{005C00DA-00DD-493B-8995-001200F8000C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N145:N148 N150 N152 N154 N157:N167</xm:sqref>
        </x14:conditionalFormatting>
        <x14:conditionalFormatting xmlns:xm="http://schemas.microsoft.com/office/excel/2006/main">
          <x14:cfRule type="dataBar" priority="3118" id="{00BF0055-0004-45DD-876F-0006004E00E8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F145:F148 F150 F152 F154 F157:F163</xm:sqref>
        </x14:conditionalFormatting>
        <x14:conditionalFormatting xmlns:xm="http://schemas.microsoft.com/office/excel/2006/main">
          <x14:cfRule type="dataBar" priority="3113" id="{003F00B2-008D-4361-9F5E-000F000D00D9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S145:S148 S150 S152 S154 S157:S167</xm:sqref>
        </x14:conditionalFormatting>
        <x14:conditionalFormatting xmlns:xm="http://schemas.microsoft.com/office/excel/2006/main">
          <x14:cfRule type="dataBar" priority="3108" id="{00C90001-00A0-46BD-AFBE-00B300DB002B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S148 S150 S152 S154 S157:S167</xm:sqref>
        </x14:conditionalFormatting>
        <x14:conditionalFormatting xmlns:xm="http://schemas.microsoft.com/office/excel/2006/main">
          <x14:cfRule type="dataBar" priority="3103" id="{00D9002F-00AC-4FF0-AA35-00D200130098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N148 N150 N152 N154 N157:N167</xm:sqref>
        </x14:conditionalFormatting>
        <x14:conditionalFormatting xmlns:xm="http://schemas.microsoft.com/office/excel/2006/main">
          <x14:cfRule type="dataBar" priority="3098" id="{00120097-00FC-4539-BA8F-00A7003500FB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F150 F148 F152 F154 F157:F167</xm:sqref>
        </x14:conditionalFormatting>
        <x14:conditionalFormatting xmlns:xm="http://schemas.microsoft.com/office/excel/2006/main">
          <x14:cfRule type="dataBar" priority="3079" id="{005F00A9-00D1-4033-B67D-001E00A60009}">
            <x14:dataBar maxLength="90" minLength="10" axisPosition="automatic" direction="context">
              <x14:cfvo type="min"/>
              <x14:cfvo type="max"/>
              <x14:fillColor rgb="FF63C384"/>
            </x14:dataBar>
          </x14:cfRule>
          <xm:sqref>N148:N152 N154 N157:N167</xm:sqref>
        </x14:conditionalFormatting>
        <x14:conditionalFormatting xmlns:xm="http://schemas.microsoft.com/office/excel/2006/main">
          <x14:cfRule type="dataBar" priority="3070" id="{00940033-00F0-4DFC-BA99-00EE005C00AC}">
            <x14:dataBar maxLength="90" minLength="10" axisPosition="automatic" direction="context">
              <x14:cfvo type="min"/>
              <x14:cfvo type="max"/>
              <x14:fillColor rgb="FFFFB628"/>
            </x14:dataBar>
          </x14:cfRule>
          <xm:sqref>S148:S152 S154 S157:S167</xm:sqref>
        </x14:conditionalFormatting>
        <x14:conditionalFormatting xmlns:xm="http://schemas.microsoft.com/office/excel/2006/main">
          <x14:cfRule type="dataBar" priority="3006" id="{00AD00CD-0096-4BB2-B107-006700060003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N157:N167 N154</xm:sqref>
        </x14:conditionalFormatting>
        <x14:conditionalFormatting xmlns:xm="http://schemas.microsoft.com/office/excel/2006/main">
          <x14:cfRule type="dataBar" priority="3002" id="{00790018-001C-4970-8841-0085007400CC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F157:F167 F154</xm:sqref>
        </x14:conditionalFormatting>
        <x14:conditionalFormatting xmlns:xm="http://schemas.microsoft.com/office/excel/2006/main">
          <x14:cfRule type="dataBar" priority="2998" id="{00B40055-008C-4D07-8B50-00E3003600C3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S157:S167 S154</xm:sqref>
        </x14:conditionalFormatting>
        <x14:conditionalFormatting xmlns:xm="http://schemas.microsoft.com/office/excel/2006/main">
          <x14:cfRule type="dataBar" priority="2994" id="{00370078-0051-4B34-A7CE-001E004400E8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N157:N165 N154</xm:sqref>
        </x14:conditionalFormatting>
        <x14:conditionalFormatting xmlns:xm="http://schemas.microsoft.com/office/excel/2006/main">
          <x14:cfRule type="dataBar" priority="2990" id="{004100B7-00F8-4E75-9B5E-002B00DF0057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F157:F165 F154</xm:sqref>
        </x14:conditionalFormatting>
        <x14:conditionalFormatting xmlns:xm="http://schemas.microsoft.com/office/excel/2006/main">
          <x14:cfRule type="dataBar" priority="2986" id="{001C0055-005F-4359-A61D-0047003D006C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S157:S165 S154</xm:sqref>
        </x14:conditionalFormatting>
        <x14:conditionalFormatting xmlns:xm="http://schemas.microsoft.com/office/excel/2006/main">
          <x14:cfRule type="dataBar" priority="2946" id="{00AC0051-0068-49C4-8186-001300380095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N157:N158 N154</xm:sqref>
        </x14:conditionalFormatting>
        <x14:conditionalFormatting xmlns:xm="http://schemas.microsoft.com/office/excel/2006/main">
          <x14:cfRule type="dataBar" priority="2942" id="{00180018-0008-49C0-8054-0090006F00AC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F157:F158 F154</xm:sqref>
        </x14:conditionalFormatting>
        <x14:conditionalFormatting xmlns:xm="http://schemas.microsoft.com/office/excel/2006/main">
          <x14:cfRule type="dataBar" priority="2938" id="{00A8009E-00D9-423C-B551-0022004300E7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S157:S158 S154</xm:sqref>
        </x14:conditionalFormatting>
        <x14:conditionalFormatting xmlns:xm="http://schemas.microsoft.com/office/excel/2006/main">
          <x14:cfRule type="dataBar" priority="2666" id="{00DA008C-00DA-4E44-917C-008500E50016}">
            <x14:dataBar maxLength="90" minLength="10" axisPosition="automatic" direction="context">
              <x14:cfvo type="min"/>
              <x14:cfvo type="max"/>
              <x14:fillColor rgb="FF63C384"/>
            </x14:dataBar>
          </x14:cfRule>
          <xm:sqref>N157:N167</xm:sqref>
        </x14:conditionalFormatting>
        <x14:conditionalFormatting xmlns:xm="http://schemas.microsoft.com/office/excel/2006/main">
          <x14:cfRule type="dataBar" priority="2597" id="{00B40084-00C8-4A08-AFE9-0077009F0013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N157:N164 N154</xm:sqref>
        </x14:conditionalFormatting>
        <x14:conditionalFormatting xmlns:xm="http://schemas.microsoft.com/office/excel/2006/main">
          <x14:cfRule type="dataBar" priority="2594" id="{0004000F-00AD-471D-9F54-009500140037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F157:F164 F154</xm:sqref>
        </x14:conditionalFormatting>
        <x14:conditionalFormatting xmlns:xm="http://schemas.microsoft.com/office/excel/2006/main">
          <x14:cfRule type="dataBar" priority="2591" id="{002100D5-0000-400B-9F72-0061003100F0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S157:S164 S154</xm:sqref>
        </x14:conditionalFormatting>
        <x14:conditionalFormatting xmlns:xm="http://schemas.microsoft.com/office/excel/2006/main">
          <x14:cfRule type="dataBar" priority="2588" id="{00470004-001E-4E34-871F-0091005A00E5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N157:N163 N154</xm:sqref>
        </x14:conditionalFormatting>
        <x14:conditionalFormatting xmlns:xm="http://schemas.microsoft.com/office/excel/2006/main">
          <x14:cfRule type="dataBar" priority="2585" id="{007A007A-00A3-4A43-866C-001F007B00BD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F157:F163 F154</xm:sqref>
        </x14:conditionalFormatting>
        <x14:conditionalFormatting xmlns:xm="http://schemas.microsoft.com/office/excel/2006/main">
          <x14:cfRule type="dataBar" priority="2582" id="{00AC00D9-0081-40BC-ABF7-0071000F00B7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S157:S163 S154</xm:sqref>
        </x14:conditionalFormatting>
        <x14:conditionalFormatting xmlns:xm="http://schemas.microsoft.com/office/excel/2006/main">
          <x14:cfRule type="dataBar" priority="2579" id="{002000DF-00AE-4B3A-A79A-00D9003A00B2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N157:N162 N154</xm:sqref>
        </x14:conditionalFormatting>
        <x14:conditionalFormatting xmlns:xm="http://schemas.microsoft.com/office/excel/2006/main">
          <x14:cfRule type="dataBar" priority="2576" id="{004C0084-004E-498E-89AD-004A00700008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F157:F162 F154</xm:sqref>
        </x14:conditionalFormatting>
        <x14:conditionalFormatting xmlns:xm="http://schemas.microsoft.com/office/excel/2006/main">
          <x14:cfRule type="dataBar" priority="2573" id="{00FD0086-008B-4146-AFC8-001100A300C9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S157:S162 S154</xm:sqref>
        </x14:conditionalFormatting>
        <x14:conditionalFormatting xmlns:xm="http://schemas.microsoft.com/office/excel/2006/main">
          <x14:cfRule type="dataBar" priority="2561" id="{002B0003-00AB-4678-804E-00D200F7009A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N154 N157</xm:sqref>
        </x14:conditionalFormatting>
        <x14:conditionalFormatting xmlns:xm="http://schemas.microsoft.com/office/excel/2006/main">
          <x14:cfRule type="dataBar" priority="2558" id="{00920040-00C7-418A-9C01-00E800DC00E5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F157 F154</xm:sqref>
        </x14:conditionalFormatting>
        <x14:conditionalFormatting xmlns:xm="http://schemas.microsoft.com/office/excel/2006/main">
          <x14:cfRule type="dataBar" priority="2555" id="{00A10012-0052-45D8-822D-00CE008A0038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S157 S154</xm:sqref>
        </x14:conditionalFormatting>
        <x14:conditionalFormatting xmlns:xm="http://schemas.microsoft.com/office/excel/2006/main">
          <x14:cfRule type="dataBar" priority="1515" id="{004A0039-0033-48AF-AB5F-00AD002400F5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F4:F8 F10:F22</xm:sqref>
        </x14:conditionalFormatting>
        <x14:conditionalFormatting xmlns:xm="http://schemas.microsoft.com/office/excel/2006/main">
          <x14:cfRule type="dataBar" priority="1512" id="{009B00CE-00A3-47B6-A08C-00A0000B002A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N10:N22 N4:N8</xm:sqref>
        </x14:conditionalFormatting>
        <x14:conditionalFormatting xmlns:xm="http://schemas.microsoft.com/office/excel/2006/main">
          <x14:cfRule type="dataBar" priority="1371" id="{00B6009B-00FB-427E-AB71-00BB00B6007F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N18 N21 N15 N12 N25:N46 N111:N117 N6 N121:N128</xm:sqref>
        </x14:conditionalFormatting>
        <x14:conditionalFormatting xmlns:xm="http://schemas.microsoft.com/office/excel/2006/main">
          <x14:cfRule type="dataBar" priority="1362" id="{00B200FE-008F-4EBC-9276-007C006A0085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F18 F21 F15 F12 F46 F111:F117 F6 F25:F37 F121:F128</xm:sqref>
        </x14:conditionalFormatting>
        <x14:conditionalFormatting xmlns:xm="http://schemas.microsoft.com/office/excel/2006/main">
          <x14:cfRule type="dataBar" priority="1351" id="{000900AC-0026-43DE-B1F6-00ED00AB00B3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R25:R46 R111:R117 R121:R128</xm:sqref>
        </x14:conditionalFormatting>
        <x14:conditionalFormatting xmlns:xm="http://schemas.microsoft.com/office/excel/2006/main">
          <x14:cfRule type="dataBar" priority="1326" id="{00700083-007A-46F0-A9BE-00AC004D0031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F38:F45</xm:sqref>
        </x14:conditionalFormatting>
        <x14:conditionalFormatting xmlns:xm="http://schemas.microsoft.com/office/excel/2006/main">
          <x14:cfRule type="dataBar" priority="1325" id="{00BF0064-0015-473A-9D6C-0079003E0030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F40</xm:sqref>
        </x14:conditionalFormatting>
        <x14:conditionalFormatting xmlns:xm="http://schemas.microsoft.com/office/excel/2006/main">
          <x14:cfRule type="dataBar" priority="1322" id="{002300ED-001B-4D70-B3EA-001D00E1007F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R28:R45</xm:sqref>
        </x14:conditionalFormatting>
        <x14:conditionalFormatting xmlns:xm="http://schemas.microsoft.com/office/excel/2006/main">
          <x14:cfRule type="dataBar" priority="1318" id="{003300AE-0032-4D01-AA81-008500DB00C7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N49:N69</xm:sqref>
        </x14:conditionalFormatting>
        <x14:conditionalFormatting xmlns:xm="http://schemas.microsoft.com/office/excel/2006/main">
          <x14:cfRule type="dataBar" priority="1317" id="{000500DF-009D-44D4-BCCD-001A005A007F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F49:F61</xm:sqref>
        </x14:conditionalFormatting>
        <x14:conditionalFormatting xmlns:xm="http://schemas.microsoft.com/office/excel/2006/main">
          <x14:cfRule type="dataBar" priority="1316" id="{00ED00D5-0018-436E-AF22-00B3005900DC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R49:R69</xm:sqref>
        </x14:conditionalFormatting>
        <x14:conditionalFormatting xmlns:xm="http://schemas.microsoft.com/office/excel/2006/main">
          <x14:cfRule type="dataBar" priority="1315" id="{00D5008C-0016-4E0E-9806-002800F200F9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F62:F69</xm:sqref>
        </x14:conditionalFormatting>
        <x14:conditionalFormatting xmlns:xm="http://schemas.microsoft.com/office/excel/2006/main">
          <x14:cfRule type="dataBar" priority="1314" id="{00C20025-0029-4843-AB50-007A001100F1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F64</xm:sqref>
        </x14:conditionalFormatting>
        <x14:conditionalFormatting xmlns:xm="http://schemas.microsoft.com/office/excel/2006/main">
          <x14:cfRule type="dataBar" priority="1311" id="{00B9005D-0011-47DD-B9F3-003200400083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R52:R69</xm:sqref>
        </x14:conditionalFormatting>
        <x14:conditionalFormatting xmlns:xm="http://schemas.microsoft.com/office/excel/2006/main">
          <x14:cfRule type="dataBar" priority="1310" id="{002100C5-00A5-4328-BBFE-00CF0010006A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N73:N93</xm:sqref>
        </x14:conditionalFormatting>
        <x14:conditionalFormatting xmlns:xm="http://schemas.microsoft.com/office/excel/2006/main">
          <x14:cfRule type="dataBar" priority="1309" id="{00F5007A-0016-4804-9E22-008A00EE0097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F73:F85</xm:sqref>
        </x14:conditionalFormatting>
        <x14:conditionalFormatting xmlns:xm="http://schemas.microsoft.com/office/excel/2006/main">
          <x14:cfRule type="dataBar" priority="1308" id="{00A1002E-000D-4E1E-8780-00E700F50028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R73:R93</xm:sqref>
        </x14:conditionalFormatting>
        <x14:conditionalFormatting xmlns:xm="http://schemas.microsoft.com/office/excel/2006/main">
          <x14:cfRule type="dataBar" priority="1307" id="{00DC00E4-0056-4A71-9E36-00F90060004D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F86:F93</xm:sqref>
        </x14:conditionalFormatting>
        <x14:conditionalFormatting xmlns:xm="http://schemas.microsoft.com/office/excel/2006/main">
          <x14:cfRule type="dataBar" priority="1306" id="{00F000B1-007A-4C58-A54B-00B400B30067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F88</xm:sqref>
        </x14:conditionalFormatting>
        <x14:conditionalFormatting xmlns:xm="http://schemas.microsoft.com/office/excel/2006/main">
          <x14:cfRule type="dataBar" priority="1303" id="{007A0061-0010-4252-A145-0095003B0068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R76:R93</xm:sqref>
        </x14:conditionalFormatting>
        <x14:conditionalFormatting xmlns:xm="http://schemas.microsoft.com/office/excel/2006/main">
          <x14:cfRule type="dataBar" priority="1301" id="{00A200C4-0013-4F55-B59F-00E500480005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R2:R8 R10:R21</xm:sqref>
        </x14:conditionalFormatting>
        <x14:conditionalFormatting xmlns:xm="http://schemas.microsoft.com/office/excel/2006/main">
          <x14:cfRule type="dataBar" priority="1300" id="{007B00C1-00B1-4914-B147-00CD00BE0073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F110:F117</xm:sqref>
        </x14:conditionalFormatting>
        <x14:conditionalFormatting xmlns:xm="http://schemas.microsoft.com/office/excel/2006/main">
          <x14:cfRule type="dataBar" priority="1299" id="{005700AD-00BC-41EF-B002-000B00750064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F112</xm:sqref>
        </x14:conditionalFormatting>
        <x14:conditionalFormatting xmlns:xm="http://schemas.microsoft.com/office/excel/2006/main">
          <x14:cfRule type="dataBar" priority="1296" id="{005700C3-0024-4152-A63F-00C3004200F7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R100:R117</xm:sqref>
        </x14:conditionalFormatting>
        <x14:conditionalFormatting xmlns:xm="http://schemas.microsoft.com/office/excel/2006/main">
          <x14:cfRule type="dataBar" priority="1295" id="{00300065-003F-4FBC-9BEA-007A00A9006D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R97:R117</xm:sqref>
        </x14:conditionalFormatting>
        <x14:conditionalFormatting xmlns:xm="http://schemas.microsoft.com/office/excel/2006/main">
          <x14:cfRule type="dataBar" priority="1294" id="{0047008D-00D6-45E3-986A-0015003200FD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F97:F109</xm:sqref>
        </x14:conditionalFormatting>
        <x14:conditionalFormatting xmlns:xm="http://schemas.microsoft.com/office/excel/2006/main">
          <x14:cfRule type="dataBar" priority="1293" id="{004B0092-00B1-4754-BAEA-00040098004B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N97:N117</xm:sqref>
        </x14:conditionalFormatting>
        <x14:conditionalFormatting xmlns:xm="http://schemas.microsoft.com/office/excel/2006/main">
          <x14:cfRule type="dataBar" priority="1288" id="{00E7009E-0058-407A-94EA-0095005600F4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R28:R45</xm:sqref>
        </x14:conditionalFormatting>
        <x14:conditionalFormatting xmlns:xm="http://schemas.microsoft.com/office/excel/2006/main">
          <x14:cfRule type="dataBar" priority="1287" id="{005400EE-000F-4B57-B96F-00AA00180001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R28:R45</xm:sqref>
        </x14:conditionalFormatting>
        <x14:conditionalFormatting xmlns:xm="http://schemas.microsoft.com/office/excel/2006/main">
          <x14:cfRule type="dataBar" priority="1286" id="{0024006B-00F3-46D9-BF7F-006600030041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R52:R69</xm:sqref>
        </x14:conditionalFormatting>
        <x14:conditionalFormatting xmlns:xm="http://schemas.microsoft.com/office/excel/2006/main">
          <x14:cfRule type="dataBar" priority="1285" id="{0015002A-00F2-4D21-93FC-005F0070008B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R52:R69</xm:sqref>
        </x14:conditionalFormatting>
        <x14:conditionalFormatting xmlns:xm="http://schemas.microsoft.com/office/excel/2006/main">
          <x14:cfRule type="dataBar" priority="1284" id="{001900AA-00FA-4A18-996B-005C00BF0048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R52:R69</xm:sqref>
        </x14:conditionalFormatting>
        <x14:conditionalFormatting xmlns:xm="http://schemas.microsoft.com/office/excel/2006/main">
          <x14:cfRule type="dataBar" priority="1283" id="{00A400BE-00C5-4163-BF0F-00D700540012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R52:R69</xm:sqref>
        </x14:conditionalFormatting>
        <x14:conditionalFormatting xmlns:xm="http://schemas.microsoft.com/office/excel/2006/main">
          <x14:cfRule type="dataBar" priority="1282" id="{00A200C6-0033-4F17-B5A4-00C8002400C8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R76:R93</xm:sqref>
        </x14:conditionalFormatting>
        <x14:conditionalFormatting xmlns:xm="http://schemas.microsoft.com/office/excel/2006/main">
          <x14:cfRule type="dataBar" priority="1281" id="{005F00DA-00AC-4117-B0FB-0081002500A3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R76:R93</xm:sqref>
        </x14:conditionalFormatting>
        <x14:conditionalFormatting xmlns:xm="http://schemas.microsoft.com/office/excel/2006/main">
          <x14:cfRule type="dataBar" priority="1280" id="{0043009D-00CC-4330-A085-00220036006B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R76:R93</xm:sqref>
        </x14:conditionalFormatting>
        <x14:conditionalFormatting xmlns:xm="http://schemas.microsoft.com/office/excel/2006/main">
          <x14:cfRule type="dataBar" priority="1279" id="{00020027-006B-443A-B87B-00AD00740020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R76:R93</xm:sqref>
        </x14:conditionalFormatting>
        <x14:conditionalFormatting xmlns:xm="http://schemas.microsoft.com/office/excel/2006/main">
          <x14:cfRule type="dataBar" priority="1278" id="{00C6004A-006A-4D22-900B-00A400EF0090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R76:R93</xm:sqref>
        </x14:conditionalFormatting>
        <x14:conditionalFormatting xmlns:xm="http://schemas.microsoft.com/office/excel/2006/main">
          <x14:cfRule type="dataBar" priority="1277" id="{00E30006-0065-4077-AA9C-008B00CB008F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R76:R93</xm:sqref>
        </x14:conditionalFormatting>
        <x14:conditionalFormatting xmlns:xm="http://schemas.microsoft.com/office/excel/2006/main">
          <x14:cfRule type="dataBar" priority="1276" id="{0014000F-0003-4DF4-BB8E-00660028009C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R100:R117</xm:sqref>
        </x14:conditionalFormatting>
        <x14:conditionalFormatting xmlns:xm="http://schemas.microsoft.com/office/excel/2006/main">
          <x14:cfRule type="dataBar" priority="1275" id="{00B800B4-00BE-4128-93DE-009700BC0078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R100:R117</xm:sqref>
        </x14:conditionalFormatting>
        <x14:conditionalFormatting xmlns:xm="http://schemas.microsoft.com/office/excel/2006/main">
          <x14:cfRule type="dataBar" priority="1274" id="{00520096-00A9-48C2-A264-005F005800AD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R100:R117</xm:sqref>
        </x14:conditionalFormatting>
        <x14:conditionalFormatting xmlns:xm="http://schemas.microsoft.com/office/excel/2006/main">
          <x14:cfRule type="dataBar" priority="1273" id="{002200CF-00FF-4A86-B4D6-00F900210075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R100:R117</xm:sqref>
        </x14:conditionalFormatting>
        <x14:conditionalFormatting xmlns:xm="http://schemas.microsoft.com/office/excel/2006/main">
          <x14:cfRule type="dataBar" priority="1272" id="{00B10031-00FE-4439-A501-00EF00360028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R100:R117</xm:sqref>
        </x14:conditionalFormatting>
        <x14:conditionalFormatting xmlns:xm="http://schemas.microsoft.com/office/excel/2006/main">
          <x14:cfRule type="dataBar" priority="1271" id="{0034009B-0018-4C87-942E-006300C800BB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R100:R117</xm:sqref>
        </x14:conditionalFormatting>
        <x14:conditionalFormatting xmlns:xm="http://schemas.microsoft.com/office/excel/2006/main">
          <x14:cfRule type="dataBar" priority="1270" id="{00190085-009A-42A4-8E54-000400FA0070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R100:R117</xm:sqref>
        </x14:conditionalFormatting>
        <x14:conditionalFormatting xmlns:xm="http://schemas.microsoft.com/office/excel/2006/main">
          <x14:cfRule type="dataBar" priority="1269" id="{00A50064-00D5-4B7D-B904-0005007E00BB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R100:R117</xm:sqref>
        </x14:conditionalFormatting>
        <x14:conditionalFormatting xmlns:xm="http://schemas.microsoft.com/office/excel/2006/main">
          <x14:cfRule type="dataBar" priority="1268" id="{000D00F6-00F3-4D52-A503-00C20053000B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R28:R45</xm:sqref>
        </x14:conditionalFormatting>
        <x14:conditionalFormatting xmlns:xm="http://schemas.microsoft.com/office/excel/2006/main">
          <x14:cfRule type="dataBar" priority="1266" id="{00E20077-008B-4C71-96AB-00F0005900BB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R52:R69</xm:sqref>
        </x14:conditionalFormatting>
        <x14:conditionalFormatting xmlns:xm="http://schemas.microsoft.com/office/excel/2006/main">
          <x14:cfRule type="dataBar" priority="1264" id="{00D10042-009A-4E16-AA57-0015007B0085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R76:R93</xm:sqref>
        </x14:conditionalFormatting>
        <x14:conditionalFormatting xmlns:xm="http://schemas.microsoft.com/office/excel/2006/main">
          <x14:cfRule type="dataBar" priority="1262" id="{0028003B-0078-411D-945B-001300480018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R100:R117</xm:sqref>
        </x14:conditionalFormatting>
        <x14:conditionalFormatting xmlns:xm="http://schemas.microsoft.com/office/excel/2006/main">
          <x14:cfRule type="dataBar" priority="1239" id="{00AB002A-0062-48F0-B956-006C00FD00CB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F44</xm:sqref>
        </x14:conditionalFormatting>
        <x14:conditionalFormatting xmlns:xm="http://schemas.microsoft.com/office/excel/2006/main">
          <x14:cfRule type="dataBar" priority="1238" id="{002B000F-0065-46A5-AC89-00EE001A00BC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F35</xm:sqref>
        </x14:conditionalFormatting>
        <x14:conditionalFormatting xmlns:xm="http://schemas.microsoft.com/office/excel/2006/main">
          <x14:cfRule type="dataBar" priority="1237" id="{00D600C8-0097-49BE-8DA8-0054002400E0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F35</xm:sqref>
        </x14:conditionalFormatting>
        <x14:conditionalFormatting xmlns:xm="http://schemas.microsoft.com/office/excel/2006/main">
          <x14:cfRule type="dataBar" priority="1236" id="{001F0024-00A7-4753-9877-006C00DB00DF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N35</xm:sqref>
        </x14:conditionalFormatting>
        <x14:conditionalFormatting xmlns:xm="http://schemas.microsoft.com/office/excel/2006/main">
          <x14:cfRule type="dataBar" priority="1235" id="{00AF003F-0067-40F3-B3A7-003C009000A4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R35</xm:sqref>
        </x14:conditionalFormatting>
        <x14:conditionalFormatting xmlns:xm="http://schemas.microsoft.com/office/excel/2006/main">
          <x14:cfRule type="dataBar" priority="1234" id="{00730052-00EC-4B92-970A-00DC002D0081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R35</xm:sqref>
        </x14:conditionalFormatting>
        <x14:conditionalFormatting xmlns:xm="http://schemas.microsoft.com/office/excel/2006/main">
          <x14:cfRule type="dataBar" priority="1233" id="{001C00A5-0031-4E3D-B6BD-006900A60010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R35</xm:sqref>
        </x14:conditionalFormatting>
        <x14:conditionalFormatting xmlns:xm="http://schemas.microsoft.com/office/excel/2006/main">
          <x14:cfRule type="dataBar" priority="1232" id="{005C007F-003C-49B8-AD93-00180011000D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R35</xm:sqref>
        </x14:conditionalFormatting>
        <x14:conditionalFormatting xmlns:xm="http://schemas.microsoft.com/office/excel/2006/main">
          <x14:cfRule type="dataBar" priority="1231" id="{00A4006F-0030-4623-8DA9-00F000BC00CD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R35</xm:sqref>
        </x14:conditionalFormatting>
        <x14:conditionalFormatting xmlns:xm="http://schemas.microsoft.com/office/excel/2006/main">
          <x14:cfRule type="dataBar" priority="1230" id="{00480063-001D-4437-B358-00CB004B005D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F120:F122</xm:sqref>
        </x14:conditionalFormatting>
        <x14:conditionalFormatting xmlns:xm="http://schemas.microsoft.com/office/excel/2006/main">
          <x14:cfRule type="dataBar" priority="1229" id="{000B001E-00BC-46FE-9FBD-001700CC00C4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F120</xm:sqref>
        </x14:conditionalFormatting>
        <x14:conditionalFormatting xmlns:xm="http://schemas.microsoft.com/office/excel/2006/main">
          <x14:cfRule type="dataBar" priority="1228" id="{004000E3-00EB-4E73-B927-006B003600CE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F120:F122</xm:sqref>
        </x14:conditionalFormatting>
        <x14:conditionalFormatting xmlns:xm="http://schemas.microsoft.com/office/excel/2006/main">
          <x14:cfRule type="dataBar" priority="1227" id="{0061006E-006F-4103-9AFA-000000D300A7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N120:N122</xm:sqref>
        </x14:conditionalFormatting>
        <x14:conditionalFormatting xmlns:xm="http://schemas.microsoft.com/office/excel/2006/main">
          <x14:cfRule type="dataBar" priority="1226" id="{001B003A-00B4-4A57-9348-0051003A00BA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R120:R122</xm:sqref>
        </x14:conditionalFormatting>
        <x14:conditionalFormatting xmlns:xm="http://schemas.microsoft.com/office/excel/2006/main">
          <x14:cfRule type="dataBar" priority="1225" id="{00DB0089-003B-430D-A1CD-001D00510080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R120:R122</xm:sqref>
        </x14:conditionalFormatting>
        <x14:conditionalFormatting xmlns:xm="http://schemas.microsoft.com/office/excel/2006/main">
          <x14:cfRule type="dataBar" priority="1224" id="{00870024-0045-42E0-8B8D-006200F50071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N120:N122</xm:sqref>
        </x14:conditionalFormatting>
        <x14:conditionalFormatting xmlns:xm="http://schemas.microsoft.com/office/excel/2006/main">
          <x14:cfRule type="dataBar" priority="1223" id="{004E007D-00BF-4693-BCFC-005100240018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R120:R122</xm:sqref>
        </x14:conditionalFormatting>
        <x14:conditionalFormatting xmlns:xm="http://schemas.microsoft.com/office/excel/2006/main">
          <x14:cfRule type="dataBar" priority="1222" id="{0002006C-007A-4182-92CA-004000CE00F9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R120:R122</xm:sqref>
        </x14:conditionalFormatting>
        <x14:conditionalFormatting xmlns:xm="http://schemas.microsoft.com/office/excel/2006/main">
          <x14:cfRule type="dataBar" priority="1221" id="{003600B4-000A-4CC4-A15A-0081008900CB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R120:R122</xm:sqref>
        </x14:conditionalFormatting>
        <x14:conditionalFormatting xmlns:xm="http://schemas.microsoft.com/office/excel/2006/main">
          <x14:cfRule type="dataBar" priority="1220" id="{00730066-003F-465B-93CB-001A001600FF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R120:R122</xm:sqref>
        </x14:conditionalFormatting>
        <x14:conditionalFormatting xmlns:xm="http://schemas.microsoft.com/office/excel/2006/main">
          <x14:cfRule type="dataBar" priority="1219" id="{00700045-000C-4577-B033-008F00B70063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F41</xm:sqref>
        </x14:conditionalFormatting>
        <x14:conditionalFormatting xmlns:xm="http://schemas.microsoft.com/office/excel/2006/main">
          <x14:cfRule type="dataBar" priority="1218" id="{00CA005F-002E-45FF-BCB2-00C1008500DA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F43:F45</xm:sqref>
        </x14:conditionalFormatting>
        <x14:conditionalFormatting xmlns:xm="http://schemas.microsoft.com/office/excel/2006/main">
          <x14:cfRule type="dataBar" priority="1217" id="{00EA00B2-0056-4DEA-9179-00A200E000B7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F43</xm:sqref>
        </x14:conditionalFormatting>
        <x14:conditionalFormatting xmlns:xm="http://schemas.microsoft.com/office/excel/2006/main">
          <x14:cfRule type="dataBar" priority="1216" id="{006F003B-0030-4B0B-92F3-00C900CC006C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F43:F45</xm:sqref>
        </x14:conditionalFormatting>
        <x14:conditionalFormatting xmlns:xm="http://schemas.microsoft.com/office/excel/2006/main">
          <x14:cfRule type="dataBar" priority="1215" id="{00B100CF-00AB-47D7-ABC6-006600CA00E7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N43:N45</xm:sqref>
        </x14:conditionalFormatting>
        <x14:conditionalFormatting xmlns:xm="http://schemas.microsoft.com/office/excel/2006/main">
          <x14:cfRule type="dataBar" priority="1214" id="{007600F9-006D-4DBE-AD25-000E00900030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R43:R45</xm:sqref>
        </x14:conditionalFormatting>
        <x14:conditionalFormatting xmlns:xm="http://schemas.microsoft.com/office/excel/2006/main">
          <x14:cfRule type="dataBar" priority="1213" id="{005E0021-00A4-46F2-894A-00F2009B004D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R43:R45</xm:sqref>
        </x14:conditionalFormatting>
        <x14:conditionalFormatting xmlns:xm="http://schemas.microsoft.com/office/excel/2006/main">
          <x14:cfRule type="dataBar" priority="1212" id="{000200EB-0061-421B-8A38-002600EB0070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N43:N45</xm:sqref>
        </x14:conditionalFormatting>
        <x14:conditionalFormatting xmlns:xm="http://schemas.microsoft.com/office/excel/2006/main">
          <x14:cfRule type="dataBar" priority="1211" id="{002C00B4-0030-46FC-85F6-00610051002B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R43:R45</xm:sqref>
        </x14:conditionalFormatting>
        <x14:conditionalFormatting xmlns:xm="http://schemas.microsoft.com/office/excel/2006/main">
          <x14:cfRule type="dataBar" priority="1210" id="{007C00F5-0054-4E2F-9E5C-005B00C200C0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R43:R45</xm:sqref>
        </x14:conditionalFormatting>
        <x14:conditionalFormatting xmlns:xm="http://schemas.microsoft.com/office/excel/2006/main">
          <x14:cfRule type="dataBar" priority="1209" id="{00FB0040-00D5-468B-AA64-00B300E700EF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R43:R45</xm:sqref>
        </x14:conditionalFormatting>
        <x14:conditionalFormatting xmlns:xm="http://schemas.microsoft.com/office/excel/2006/main">
          <x14:cfRule type="dataBar" priority="1208" id="{00F200DD-0062-4DC7-8957-0077006600C0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R43:R45</xm:sqref>
        </x14:conditionalFormatting>
        <x14:conditionalFormatting xmlns:xm="http://schemas.microsoft.com/office/excel/2006/main">
          <x14:cfRule type="dataBar" priority="1207" id="{002F00DB-00A9-426E-A6E5-00F5003E00B3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R120:R122</xm:sqref>
        </x14:conditionalFormatting>
        <x14:conditionalFormatting xmlns:xm="http://schemas.microsoft.com/office/excel/2006/main">
          <x14:cfRule type="dataBar" priority="1206" id="{007A0016-00A3-428A-A1C1-00AE0036006B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F120:F122</xm:sqref>
        </x14:conditionalFormatting>
        <x14:conditionalFormatting xmlns:xm="http://schemas.microsoft.com/office/excel/2006/main">
          <x14:cfRule type="dataBar" priority="1205" id="{005E0010-009B-439E-A325-005B00C9008A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N120:N122</xm:sqref>
        </x14:conditionalFormatting>
        <x14:conditionalFormatting xmlns:xm="http://schemas.microsoft.com/office/excel/2006/main">
          <x14:cfRule type="dataBar" priority="1195" id="{009E00BB-0017-4BEA-B426-003900880001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F40</xm:sqref>
        </x14:conditionalFormatting>
        <x14:conditionalFormatting xmlns:xm="http://schemas.microsoft.com/office/excel/2006/main">
          <x14:cfRule type="dataBar" priority="1194" id="{00C400F3-0029-4159-8729-004D00B00055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F30</xm:sqref>
        </x14:conditionalFormatting>
        <x14:conditionalFormatting xmlns:xm="http://schemas.microsoft.com/office/excel/2006/main">
          <x14:cfRule type="dataBar" priority="1193" id="{00CE0064-0074-4244-A576-005E00A1005F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F30</xm:sqref>
        </x14:conditionalFormatting>
        <x14:conditionalFormatting xmlns:xm="http://schemas.microsoft.com/office/excel/2006/main">
          <x14:cfRule type="dataBar" priority="1192" id="{005C003A-00F3-4D5B-86FF-00E300BF003D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N30</xm:sqref>
        </x14:conditionalFormatting>
        <x14:conditionalFormatting xmlns:xm="http://schemas.microsoft.com/office/excel/2006/main">
          <x14:cfRule type="dataBar" priority="1191" id="{00E00004-00E0-448B-80C7-00250074007B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R30</xm:sqref>
        </x14:conditionalFormatting>
        <x14:conditionalFormatting xmlns:xm="http://schemas.microsoft.com/office/excel/2006/main">
          <x14:cfRule type="dataBar" priority="1190" id="{00DA00AD-0097-4B7A-BD94-00A400510090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R30</xm:sqref>
        </x14:conditionalFormatting>
        <x14:conditionalFormatting xmlns:xm="http://schemas.microsoft.com/office/excel/2006/main">
          <x14:cfRule type="dataBar" priority="1189" id="{00BC004A-0028-427F-A8D6-00C4000B0038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R30</xm:sqref>
        </x14:conditionalFormatting>
        <x14:conditionalFormatting xmlns:xm="http://schemas.microsoft.com/office/excel/2006/main">
          <x14:cfRule type="dataBar" priority="1188" id="{009C009F-00D3-4F21-A672-0098002D00E7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R30</xm:sqref>
        </x14:conditionalFormatting>
        <x14:conditionalFormatting xmlns:xm="http://schemas.microsoft.com/office/excel/2006/main">
          <x14:cfRule type="dataBar" priority="1187" id="{003400B2-0006-4BA4-BC93-000200C40047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R30</xm:sqref>
        </x14:conditionalFormatting>
        <x14:conditionalFormatting xmlns:xm="http://schemas.microsoft.com/office/excel/2006/main">
          <x14:cfRule type="dataBar" priority="1186" id="{002700AC-00CA-4CEE-A923-001D00570058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F30</xm:sqref>
        </x14:conditionalFormatting>
        <x14:conditionalFormatting xmlns:xm="http://schemas.microsoft.com/office/excel/2006/main">
          <x14:cfRule type="dataBar" priority="1185" id="{00800010-00EE-4498-A2F1-00A3007000D5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F30</xm:sqref>
        </x14:conditionalFormatting>
        <x14:conditionalFormatting xmlns:xm="http://schemas.microsoft.com/office/excel/2006/main">
          <x14:cfRule type="dataBar" priority="1184" id="{00C300D9-0061-477C-BB67-00C200A9001B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F30</xm:sqref>
        </x14:conditionalFormatting>
        <x14:conditionalFormatting xmlns:xm="http://schemas.microsoft.com/office/excel/2006/main">
          <x14:cfRule type="dataBar" priority="1183" id="{003A00FD-0047-4DE2-97A1-009500DB0025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N30</xm:sqref>
        </x14:conditionalFormatting>
        <x14:conditionalFormatting xmlns:xm="http://schemas.microsoft.com/office/excel/2006/main">
          <x14:cfRule type="dataBar" priority="1182" id="{00B900B4-00B9-4BE4-80AE-000C001A009E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R30</xm:sqref>
        </x14:conditionalFormatting>
        <x14:conditionalFormatting xmlns:xm="http://schemas.microsoft.com/office/excel/2006/main">
          <x14:cfRule type="dataBar" priority="1181" id="{00610042-001E-4345-82EB-000D00570029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R30</xm:sqref>
        </x14:conditionalFormatting>
        <x14:conditionalFormatting xmlns:xm="http://schemas.microsoft.com/office/excel/2006/main">
          <x14:cfRule type="dataBar" priority="1180" id="{008B0006-0076-4966-A995-009D000400C7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R30</xm:sqref>
        </x14:conditionalFormatting>
        <x14:conditionalFormatting xmlns:xm="http://schemas.microsoft.com/office/excel/2006/main">
          <x14:cfRule type="dataBar" priority="1179" id="{0081006E-0052-44E2-98D1-0055009B0052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R30</xm:sqref>
        </x14:conditionalFormatting>
        <x14:conditionalFormatting xmlns:xm="http://schemas.microsoft.com/office/excel/2006/main">
          <x14:cfRule type="dataBar" priority="1178" id="{005D000B-00C2-4333-B0A1-000E007A006D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R30</xm:sqref>
        </x14:conditionalFormatting>
        <x14:conditionalFormatting xmlns:xm="http://schemas.microsoft.com/office/excel/2006/main">
          <x14:cfRule type="dataBar" priority="1170" id="{00FD00C0-0061-4B36-8635-001F00180019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F37</xm:sqref>
        </x14:conditionalFormatting>
        <x14:conditionalFormatting xmlns:xm="http://schemas.microsoft.com/office/excel/2006/main">
          <x14:cfRule type="dataBar" priority="1169" id="{00260057-0046-42D4-88F0-0040005D0065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F37</xm:sqref>
        </x14:conditionalFormatting>
        <x14:conditionalFormatting xmlns:xm="http://schemas.microsoft.com/office/excel/2006/main">
          <x14:cfRule type="dataBar" priority="1168" id="{006B0045-00C8-49FE-865E-005A00AC00E1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N37</xm:sqref>
        </x14:conditionalFormatting>
        <x14:conditionalFormatting xmlns:xm="http://schemas.microsoft.com/office/excel/2006/main">
          <x14:cfRule type="dataBar" priority="1167" id="{002E00D3-00C8-4B15-BDEE-00BD00530042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R37</xm:sqref>
        </x14:conditionalFormatting>
        <x14:conditionalFormatting xmlns:xm="http://schemas.microsoft.com/office/excel/2006/main">
          <x14:cfRule type="dataBar" priority="1166" id="{00B80014-004D-4B53-BAC1-008D00F200E0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R37</xm:sqref>
        </x14:conditionalFormatting>
        <x14:conditionalFormatting xmlns:xm="http://schemas.microsoft.com/office/excel/2006/main">
          <x14:cfRule type="dataBar" priority="1165" id="{007D00A5-00DB-429B-82BF-0084005500AB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R37</xm:sqref>
        </x14:conditionalFormatting>
        <x14:conditionalFormatting xmlns:xm="http://schemas.microsoft.com/office/excel/2006/main">
          <x14:cfRule type="dataBar" priority="1164" id="{000900F1-0086-45C7-92AA-004100FF0087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R37</xm:sqref>
        </x14:conditionalFormatting>
        <x14:conditionalFormatting xmlns:xm="http://schemas.microsoft.com/office/excel/2006/main">
          <x14:cfRule type="dataBar" priority="1163" id="{0056001C-0052-4376-B9C3-007F00AE00D9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R37</xm:sqref>
        </x14:conditionalFormatting>
        <x14:conditionalFormatting xmlns:xm="http://schemas.microsoft.com/office/excel/2006/main">
          <x14:cfRule type="dataBar" priority="1162" id="{00A20050-0082-4CF7-B174-006D00AA0044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F37</xm:sqref>
        </x14:conditionalFormatting>
        <x14:conditionalFormatting xmlns:xm="http://schemas.microsoft.com/office/excel/2006/main">
          <x14:cfRule type="dataBar" priority="1161" id="{003600EF-00C6-42AF-B1C9-002100D400D7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F37</xm:sqref>
        </x14:conditionalFormatting>
        <x14:conditionalFormatting xmlns:xm="http://schemas.microsoft.com/office/excel/2006/main">
          <x14:cfRule type="dataBar" priority="1160" id="{008F0096-00AC-4FB6-857F-00BB003000C5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F37</xm:sqref>
        </x14:conditionalFormatting>
        <x14:conditionalFormatting xmlns:xm="http://schemas.microsoft.com/office/excel/2006/main">
          <x14:cfRule type="dataBar" priority="1159" id="{00AC0027-009A-4168-A143-007D0015005A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N37</xm:sqref>
        </x14:conditionalFormatting>
        <x14:conditionalFormatting xmlns:xm="http://schemas.microsoft.com/office/excel/2006/main">
          <x14:cfRule type="dataBar" priority="1158" id="{00ED00DE-0094-4116-9BF6-004400940044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R37</xm:sqref>
        </x14:conditionalFormatting>
        <x14:conditionalFormatting xmlns:xm="http://schemas.microsoft.com/office/excel/2006/main">
          <x14:cfRule type="dataBar" priority="1157" id="{008B004D-004F-44C6-8C58-006000FF0068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R37</xm:sqref>
        </x14:conditionalFormatting>
        <x14:conditionalFormatting xmlns:xm="http://schemas.microsoft.com/office/excel/2006/main">
          <x14:cfRule type="dataBar" priority="1156" id="{000F00C6-00AE-44B5-8592-001800080080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R37</xm:sqref>
        </x14:conditionalFormatting>
        <x14:conditionalFormatting xmlns:xm="http://schemas.microsoft.com/office/excel/2006/main">
          <x14:cfRule type="dataBar" priority="1155" id="{002100D8-0007-48DD-81E5-00E0004300C3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R37</xm:sqref>
        </x14:conditionalFormatting>
        <x14:conditionalFormatting xmlns:xm="http://schemas.microsoft.com/office/excel/2006/main">
          <x14:cfRule type="dataBar" priority="1154" id="{0018009F-003B-41B0-80B3-005D001C009B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R37</xm:sqref>
        </x14:conditionalFormatting>
        <x14:conditionalFormatting xmlns:xm="http://schemas.microsoft.com/office/excel/2006/main">
          <x14:cfRule type="dataBar" priority="1153" id="{00CF008C-007C-4E4F-8C3E-002F00FF003A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F37</xm:sqref>
        </x14:conditionalFormatting>
        <x14:conditionalFormatting xmlns:xm="http://schemas.microsoft.com/office/excel/2006/main">
          <x14:cfRule type="dataBar" priority="1152" id="{00150049-00CB-4E52-88A1-000500A40084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N37</xm:sqref>
        </x14:conditionalFormatting>
        <x14:conditionalFormatting xmlns:xm="http://schemas.microsoft.com/office/excel/2006/main">
          <x14:cfRule type="dataBar" priority="1151" id="{00CB000E-0019-4730-8029-00410029000F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R37</xm:sqref>
        </x14:conditionalFormatting>
        <x14:conditionalFormatting xmlns:xm="http://schemas.microsoft.com/office/excel/2006/main">
          <x14:cfRule type="dataBar" priority="1150" id="{00E000FD-001D-42A6-9F17-007D006B0035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R37</xm:sqref>
        </x14:conditionalFormatting>
        <x14:conditionalFormatting xmlns:xm="http://schemas.microsoft.com/office/excel/2006/main">
          <x14:cfRule type="dataBar" priority="1149" id="{002C003A-006D-45A8-8E5C-00E1002C001C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R37</xm:sqref>
        </x14:conditionalFormatting>
        <x14:conditionalFormatting xmlns:xm="http://schemas.microsoft.com/office/excel/2006/main">
          <x14:cfRule type="dataBar" priority="1148" id="{001A0078-00AF-4C0B-B4A0-006600400011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R37</xm:sqref>
        </x14:conditionalFormatting>
        <x14:conditionalFormatting xmlns:xm="http://schemas.microsoft.com/office/excel/2006/main">
          <x14:cfRule type="dataBar" priority="1147" id="{000700D3-0015-47D2-8CED-000700B900D8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R37</xm:sqref>
        </x14:conditionalFormatting>
        <x14:conditionalFormatting xmlns:xm="http://schemas.microsoft.com/office/excel/2006/main">
          <x14:cfRule type="dataBar" priority="1146" id="{008A0006-00E9-446E-9601-00EC00510080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F121:F123</xm:sqref>
        </x14:conditionalFormatting>
        <x14:conditionalFormatting xmlns:xm="http://schemas.microsoft.com/office/excel/2006/main">
          <x14:cfRule type="dataBar" priority="1145" id="{006500EA-0030-4454-A4FE-00F600E70015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F121:F123</xm:sqref>
        </x14:conditionalFormatting>
        <x14:conditionalFormatting xmlns:xm="http://schemas.microsoft.com/office/excel/2006/main">
          <x14:cfRule type="dataBar" priority="1144" id="{00D70096-0041-47FF-BB46-00C800500070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N121:N123</xm:sqref>
        </x14:conditionalFormatting>
        <x14:conditionalFormatting xmlns:xm="http://schemas.microsoft.com/office/excel/2006/main">
          <x14:cfRule type="dataBar" priority="1143" id="{003200D4-00B2-47B2-850E-00DF009D00FA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R121:R123</xm:sqref>
        </x14:conditionalFormatting>
        <x14:conditionalFormatting xmlns:xm="http://schemas.microsoft.com/office/excel/2006/main">
          <x14:cfRule type="dataBar" priority="1142" id="{00C000FC-005F-4BAA-B54F-005800C10003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R121:R123</xm:sqref>
        </x14:conditionalFormatting>
        <x14:conditionalFormatting xmlns:xm="http://schemas.microsoft.com/office/excel/2006/main">
          <x14:cfRule type="dataBar" priority="1141" id="{00930000-0067-4222-81F0-007D00F20046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R121:R123</xm:sqref>
        </x14:conditionalFormatting>
        <x14:conditionalFormatting xmlns:xm="http://schemas.microsoft.com/office/excel/2006/main">
          <x14:cfRule type="dataBar" priority="1140" id="{0004008D-00A5-4B0A-A57D-000F00C900B7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R121:R123</xm:sqref>
        </x14:conditionalFormatting>
        <x14:conditionalFormatting xmlns:xm="http://schemas.microsoft.com/office/excel/2006/main">
          <x14:cfRule type="dataBar" priority="1139" id="{00220028-00A6-481F-9785-00D1006C0043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R121:R123</xm:sqref>
        </x14:conditionalFormatting>
        <x14:conditionalFormatting xmlns:xm="http://schemas.microsoft.com/office/excel/2006/main">
          <x14:cfRule type="dataBar" priority="1138" id="{002600D1-0090-48DF-9F1D-009400800067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F122</xm:sqref>
        </x14:conditionalFormatting>
        <x14:conditionalFormatting xmlns:xm="http://schemas.microsoft.com/office/excel/2006/main">
          <x14:cfRule type="dataBar" priority="1137" id="{006E0037-00C1-4FB6-9250-00C1004F0082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F121:F123</xm:sqref>
        </x14:conditionalFormatting>
        <x14:conditionalFormatting xmlns:xm="http://schemas.microsoft.com/office/excel/2006/main">
          <x14:cfRule type="dataBar" priority="1136" id="{002F0099-00B2-49EC-A56F-00240046008A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F121</xm:sqref>
        </x14:conditionalFormatting>
        <x14:conditionalFormatting xmlns:xm="http://schemas.microsoft.com/office/excel/2006/main">
          <x14:cfRule type="dataBar" priority="1135" id="{00770060-004C-4A10-87BF-0024006A001E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F121:F123</xm:sqref>
        </x14:conditionalFormatting>
        <x14:conditionalFormatting xmlns:xm="http://schemas.microsoft.com/office/excel/2006/main">
          <x14:cfRule type="dataBar" priority="1134" id="{000600D2-005A-4D84-A4F2-008900F400CD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N121:N123</xm:sqref>
        </x14:conditionalFormatting>
        <x14:conditionalFormatting xmlns:xm="http://schemas.microsoft.com/office/excel/2006/main">
          <x14:cfRule type="dataBar" priority="1133" id="{00DF00CE-00E2-4755-8DB7-00AA009300A9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R121:R123</xm:sqref>
        </x14:conditionalFormatting>
        <x14:conditionalFormatting xmlns:xm="http://schemas.microsoft.com/office/excel/2006/main">
          <x14:cfRule type="dataBar" priority="1132" id="{00C30043-000D-4BA4-9889-007400F20028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R121:R123</xm:sqref>
        </x14:conditionalFormatting>
        <x14:conditionalFormatting xmlns:xm="http://schemas.microsoft.com/office/excel/2006/main">
          <x14:cfRule type="dataBar" priority="1131" id="{008100FF-0060-43B4-9688-000000680077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N121:N123</xm:sqref>
        </x14:conditionalFormatting>
        <x14:conditionalFormatting xmlns:xm="http://schemas.microsoft.com/office/excel/2006/main">
          <x14:cfRule type="dataBar" priority="1130" id="{008C00DE-0000-43E3-9CAB-002E00880054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R121:R123</xm:sqref>
        </x14:conditionalFormatting>
        <x14:conditionalFormatting xmlns:xm="http://schemas.microsoft.com/office/excel/2006/main">
          <x14:cfRule type="dataBar" priority="1129" id="{009300C8-00BA-496B-89C8-00EC00890094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R121:R123</xm:sqref>
        </x14:conditionalFormatting>
        <x14:conditionalFormatting xmlns:xm="http://schemas.microsoft.com/office/excel/2006/main">
          <x14:cfRule type="dataBar" priority="1128" id="{00C10014-00EB-4549-903A-00A8003C00AD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R121:R123</xm:sqref>
        </x14:conditionalFormatting>
        <x14:conditionalFormatting xmlns:xm="http://schemas.microsoft.com/office/excel/2006/main">
          <x14:cfRule type="dataBar" priority="1127" id="{00CA0089-0048-4775-9291-004900150053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R121:R123</xm:sqref>
        </x14:conditionalFormatting>
        <x14:conditionalFormatting xmlns:xm="http://schemas.microsoft.com/office/excel/2006/main">
          <x14:cfRule type="dataBar" priority="1126" id="{004C0040-0081-4EB8-8F59-00A200B700D1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F43</xm:sqref>
        </x14:conditionalFormatting>
        <x14:conditionalFormatting xmlns:xm="http://schemas.microsoft.com/office/excel/2006/main">
          <x14:cfRule type="dataBar" priority="1125" id="{00940008-00FD-4DE7-B513-0035002D000A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F44</xm:sqref>
        </x14:conditionalFormatting>
        <x14:conditionalFormatting xmlns:xm="http://schemas.microsoft.com/office/excel/2006/main">
          <x14:cfRule type="dataBar" priority="1124" id="{00EF0044-00FA-419C-B358-00E600B0003A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F43</xm:sqref>
        </x14:conditionalFormatting>
        <x14:conditionalFormatting xmlns:xm="http://schemas.microsoft.com/office/excel/2006/main">
          <x14:cfRule type="dataBar" priority="1123" id="{00A7004F-0081-40D6-860A-00F7008D000F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F42</xm:sqref>
        </x14:conditionalFormatting>
        <x14:conditionalFormatting xmlns:xm="http://schemas.microsoft.com/office/excel/2006/main">
          <x14:cfRule type="dataBar" priority="1122" id="{007C003C-009B-4472-8FF3-005B00F10038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F40:F41</xm:sqref>
        </x14:conditionalFormatting>
        <x14:conditionalFormatting xmlns:xm="http://schemas.microsoft.com/office/excel/2006/main">
          <x14:cfRule type="dataBar" priority="1121" id="{00A90044-00FA-456F-B0BC-00F1007100C8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F40:F41</xm:sqref>
        </x14:conditionalFormatting>
        <x14:conditionalFormatting xmlns:xm="http://schemas.microsoft.com/office/excel/2006/main">
          <x14:cfRule type="dataBar" priority="1120" id="{00340036-0071-4325-811A-002C002A00AA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N40:N41</xm:sqref>
        </x14:conditionalFormatting>
        <x14:conditionalFormatting xmlns:xm="http://schemas.microsoft.com/office/excel/2006/main">
          <x14:cfRule type="dataBar" priority="1119" id="{00E7007B-0008-48AE-A33F-00B9002D00FE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R40:R41</xm:sqref>
        </x14:conditionalFormatting>
        <x14:conditionalFormatting xmlns:xm="http://schemas.microsoft.com/office/excel/2006/main">
          <x14:cfRule type="dataBar" priority="1118" id="{003A00E9-0014-4972-ACB2-00D700D600FA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R40:R41</xm:sqref>
        </x14:conditionalFormatting>
        <x14:conditionalFormatting xmlns:xm="http://schemas.microsoft.com/office/excel/2006/main">
          <x14:cfRule type="dataBar" priority="1117" id="{007F009D-002F-48D4-8EE7-00EA00DA0085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N40:N41</xm:sqref>
        </x14:conditionalFormatting>
        <x14:conditionalFormatting xmlns:xm="http://schemas.microsoft.com/office/excel/2006/main">
          <x14:cfRule type="dataBar" priority="1116" id="{003900B3-00FB-4B3B-B696-00C500CA0059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R40:R41</xm:sqref>
        </x14:conditionalFormatting>
        <x14:conditionalFormatting xmlns:xm="http://schemas.microsoft.com/office/excel/2006/main">
          <x14:cfRule type="dataBar" priority="1115" id="{006F00BE-0089-4075-80C7-000E006C0029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R40:R41</xm:sqref>
        </x14:conditionalFormatting>
        <x14:conditionalFormatting xmlns:xm="http://schemas.microsoft.com/office/excel/2006/main">
          <x14:cfRule type="dataBar" priority="1114" id="{002F000C-00C4-44AA-85FE-00DB00960060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R40:R41</xm:sqref>
        </x14:conditionalFormatting>
        <x14:conditionalFormatting xmlns:xm="http://schemas.microsoft.com/office/excel/2006/main">
          <x14:cfRule type="dataBar" priority="1113" id="{007F00F2-00C1-4326-8A62-002400F7009F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R40:R41</xm:sqref>
        </x14:conditionalFormatting>
        <x14:conditionalFormatting xmlns:xm="http://schemas.microsoft.com/office/excel/2006/main">
          <x14:cfRule type="dataBar" priority="1112" id="{00DC0000-00B1-4AB3-BCDE-00FE00B8008B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R40:R41</xm:sqref>
        </x14:conditionalFormatting>
        <x14:conditionalFormatting xmlns:xm="http://schemas.microsoft.com/office/excel/2006/main">
          <x14:cfRule type="dataBar" priority="1111" id="{00F70001-0072-4297-9F70-00B4000E001D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F40:F41</xm:sqref>
        </x14:conditionalFormatting>
        <x14:conditionalFormatting xmlns:xm="http://schemas.microsoft.com/office/excel/2006/main">
          <x14:cfRule type="dataBar" priority="1110" id="{004000E2-00D6-46A1-A90D-00C900DD0008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N40:N41</xm:sqref>
        </x14:conditionalFormatting>
        <x14:conditionalFormatting xmlns:xm="http://schemas.microsoft.com/office/excel/2006/main">
          <x14:cfRule type="dataBar" priority="1109" id="{00530072-00A6-4EC7-B036-00B4000600CD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F40:F42</xm:sqref>
        </x14:conditionalFormatting>
        <x14:conditionalFormatting xmlns:xm="http://schemas.microsoft.com/office/excel/2006/main">
          <x14:cfRule type="dataBar" priority="1108" id="{003F00EE-0019-4C21-BC22-00190070005E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F40:F42</xm:sqref>
        </x14:conditionalFormatting>
        <x14:conditionalFormatting xmlns:xm="http://schemas.microsoft.com/office/excel/2006/main">
          <x14:cfRule type="dataBar" priority="1107" id="{001D00B6-00D3-4215-A74F-00D100A20027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N40:N42</xm:sqref>
        </x14:conditionalFormatting>
        <x14:conditionalFormatting xmlns:xm="http://schemas.microsoft.com/office/excel/2006/main">
          <x14:cfRule type="dataBar" priority="1106" id="{00230092-00B2-4756-BA87-00D0008000B0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R40:R42</xm:sqref>
        </x14:conditionalFormatting>
        <x14:conditionalFormatting xmlns:xm="http://schemas.microsoft.com/office/excel/2006/main">
          <x14:cfRule type="dataBar" priority="1105" id="{004B00D2-0088-44EC-9661-0016004600B8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R40:R42</xm:sqref>
        </x14:conditionalFormatting>
        <x14:conditionalFormatting xmlns:xm="http://schemas.microsoft.com/office/excel/2006/main">
          <x14:cfRule type="dataBar" priority="1104" id="{002D0059-004B-4505-B0D0-005D00EC00F9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R40:R42</xm:sqref>
        </x14:conditionalFormatting>
        <x14:conditionalFormatting xmlns:xm="http://schemas.microsoft.com/office/excel/2006/main">
          <x14:cfRule type="dataBar" priority="1103" id="{00AE0020-00A2-41FE-996E-00EC002B00EE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R40:R42</xm:sqref>
        </x14:conditionalFormatting>
        <x14:conditionalFormatting xmlns:xm="http://schemas.microsoft.com/office/excel/2006/main">
          <x14:cfRule type="dataBar" priority="1102" id="{005A009B-0091-40A2-B103-00FF00F00022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R40:R42</xm:sqref>
        </x14:conditionalFormatting>
        <x14:conditionalFormatting xmlns:xm="http://schemas.microsoft.com/office/excel/2006/main">
          <x14:cfRule type="dataBar" priority="1101" id="{0033000F-00AC-4B3A-AA9B-00DA00B100D7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F41</xm:sqref>
        </x14:conditionalFormatting>
        <x14:conditionalFormatting xmlns:xm="http://schemas.microsoft.com/office/excel/2006/main">
          <x14:cfRule type="dataBar" priority="1100" id="{00A500CB-00A7-46B7-B169-004D006C0098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F40:F42</xm:sqref>
        </x14:conditionalFormatting>
        <x14:conditionalFormatting xmlns:xm="http://schemas.microsoft.com/office/excel/2006/main">
          <x14:cfRule type="dataBar" priority="1099" id="{007C007E-00C9-4659-BDEA-00A800B700D2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F40</xm:sqref>
        </x14:conditionalFormatting>
        <x14:conditionalFormatting xmlns:xm="http://schemas.microsoft.com/office/excel/2006/main">
          <x14:cfRule type="dataBar" priority="1098" id="{00E600B6-0090-4A0F-9CA2-00F4007D00B9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F40:F42</xm:sqref>
        </x14:conditionalFormatting>
        <x14:conditionalFormatting xmlns:xm="http://schemas.microsoft.com/office/excel/2006/main">
          <x14:cfRule type="dataBar" priority="1097" id="{00D500AE-00B9-453D-8EEF-00AA00900041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N40:N42</xm:sqref>
        </x14:conditionalFormatting>
        <x14:conditionalFormatting xmlns:xm="http://schemas.microsoft.com/office/excel/2006/main">
          <x14:cfRule type="dataBar" priority="1096" id="{00750082-003E-41A3-95D5-007300FC0025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R40:R42</xm:sqref>
        </x14:conditionalFormatting>
        <x14:conditionalFormatting xmlns:xm="http://schemas.microsoft.com/office/excel/2006/main">
          <x14:cfRule type="dataBar" priority="1095" id="{00AD00CB-00C3-48F4-B82B-0045002B00F5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R40:R42</xm:sqref>
        </x14:conditionalFormatting>
        <x14:conditionalFormatting xmlns:xm="http://schemas.microsoft.com/office/excel/2006/main">
          <x14:cfRule type="dataBar" priority="1094" id="{00910036-00C0-464F-8DEA-000900BF0040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N40:N42</xm:sqref>
        </x14:conditionalFormatting>
        <x14:conditionalFormatting xmlns:xm="http://schemas.microsoft.com/office/excel/2006/main">
          <x14:cfRule type="dataBar" priority="1093" id="{00BF0063-00BB-479A-B61C-000C00E00050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R40:R42</xm:sqref>
        </x14:conditionalFormatting>
        <x14:conditionalFormatting xmlns:xm="http://schemas.microsoft.com/office/excel/2006/main">
          <x14:cfRule type="dataBar" priority="1092" id="{000A00CF-001F-4515-BEE7-009C00D600B7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R40:R42</xm:sqref>
        </x14:conditionalFormatting>
        <x14:conditionalFormatting xmlns:xm="http://schemas.microsoft.com/office/excel/2006/main">
          <x14:cfRule type="dataBar" priority="1091" id="{001700EB-0024-41D7-92F9-00590014004A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R40:R42</xm:sqref>
        </x14:conditionalFormatting>
        <x14:conditionalFormatting xmlns:xm="http://schemas.microsoft.com/office/excel/2006/main">
          <x14:cfRule type="dataBar" priority="1090" id="{000500C4-009D-48B5-BE58-006700F500E4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R40:R42</xm:sqref>
        </x14:conditionalFormatting>
        <x14:conditionalFormatting xmlns:xm="http://schemas.microsoft.com/office/excel/2006/main">
          <x14:cfRule type="dataBar" priority="1089" id="{004300D7-00F6-4A8C-81D9-009300D1007D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F28:F45</xm:sqref>
        </x14:conditionalFormatting>
        <x14:conditionalFormatting xmlns:xm="http://schemas.microsoft.com/office/excel/2006/main">
          <x14:cfRule type="dataBar" priority="1086" id="{00DC00EC-006C-4792-927D-009D007300CC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F52:F69</xm:sqref>
        </x14:conditionalFormatting>
        <x14:conditionalFormatting xmlns:xm="http://schemas.microsoft.com/office/excel/2006/main">
          <x14:cfRule type="dataBar" priority="1085" id="{004E006E-0006-4C6A-BD10-001A00450080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F76:F93</xm:sqref>
        </x14:conditionalFormatting>
        <x14:conditionalFormatting xmlns:xm="http://schemas.microsoft.com/office/excel/2006/main">
          <x14:cfRule type="dataBar" priority="1081" id="{00F000B5-0046-4D72-AA5F-008100D500FB}">
            <x14:dataBar maxLength="90" minLength="10" axisPosition="automatic" direction="context">
              <x14:cfvo type="min"/>
              <x14:cfvo type="max"/>
              <x14:fillColor rgb="FF63C384"/>
            </x14:dataBar>
          </x14:cfRule>
          <xm:sqref>N10:N21 N4:N8</xm:sqref>
        </x14:conditionalFormatting>
        <x14:conditionalFormatting xmlns:xm="http://schemas.microsoft.com/office/excel/2006/main">
          <x14:cfRule type="dataBar" priority="1080" id="{000B00E6-00DE-473E-B78D-000700480017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F4:F8 F10:F21</xm:sqref>
        </x14:conditionalFormatting>
        <x14:conditionalFormatting xmlns:xm="http://schemas.microsoft.com/office/excel/2006/main">
          <x14:cfRule type="dataBar" priority="1079" id="{006F00C1-00D8-47EF-924E-00EC00830052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N28:N45</xm:sqref>
        </x14:conditionalFormatting>
        <x14:conditionalFormatting xmlns:xm="http://schemas.microsoft.com/office/excel/2006/main">
          <x14:cfRule type="dataBar" priority="1078" id="{00DC00D6-0034-47E1-B809-00C600DB001E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N52:N69</xm:sqref>
        </x14:conditionalFormatting>
        <x14:conditionalFormatting xmlns:xm="http://schemas.microsoft.com/office/excel/2006/main">
          <x14:cfRule type="dataBar" priority="1077" id="{00B4006C-0042-449D-A74D-008C0057000A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N76:N93</xm:sqref>
        </x14:conditionalFormatting>
        <x14:conditionalFormatting xmlns:xm="http://schemas.microsoft.com/office/excel/2006/main">
          <x14:cfRule type="dataBar" priority="1076" id="{00A400D4-003D-4C52-9948-00570074008A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N100:N117</xm:sqref>
        </x14:conditionalFormatting>
        <x14:conditionalFormatting xmlns:xm="http://schemas.microsoft.com/office/excel/2006/main">
          <x14:cfRule type="dataBar" priority="1075" id="{00B7001E-004A-4599-A7CC-008900C000C0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R4:R8 R10:R21</xm:sqref>
        </x14:conditionalFormatting>
        <x14:conditionalFormatting xmlns:xm="http://schemas.microsoft.com/office/excel/2006/main">
          <x14:cfRule type="dataBar" priority="1074" id="{002300E3-0015-4119-904D-003F00E40025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R28:R45</xm:sqref>
        </x14:conditionalFormatting>
        <x14:conditionalFormatting xmlns:xm="http://schemas.microsoft.com/office/excel/2006/main">
          <x14:cfRule type="dataBar" priority="1073" id="{003C00BE-000C-44B2-BF80-009F0070006C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R52:R69</xm:sqref>
        </x14:conditionalFormatting>
        <x14:conditionalFormatting xmlns:xm="http://schemas.microsoft.com/office/excel/2006/main">
          <x14:cfRule type="dataBar" priority="1072" id="{00140077-00D9-4253-A1A2-000500160080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R76:R93</xm:sqref>
        </x14:conditionalFormatting>
        <x14:conditionalFormatting xmlns:xm="http://schemas.microsoft.com/office/excel/2006/main">
          <x14:cfRule type="dataBar" priority="1071" id="{006F00EA-00E2-4F4A-AB38-00C30000009A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R100:R117</xm:sqref>
        </x14:conditionalFormatting>
        <x14:conditionalFormatting xmlns:xm="http://schemas.microsoft.com/office/excel/2006/main">
          <x14:cfRule type="dataBar" priority="1010" id="{00AA0002-005A-443E-8416-0076002900C6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R135:R141</xm:sqref>
        </x14:conditionalFormatting>
        <x14:conditionalFormatting xmlns:xm="http://schemas.microsoft.com/office/excel/2006/main">
          <x14:cfRule type="dataBar" priority="1009" id="{002E00B8-0073-4EAE-8347-00B400A200CA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F135:F141</xm:sqref>
        </x14:conditionalFormatting>
        <x14:conditionalFormatting xmlns:xm="http://schemas.microsoft.com/office/excel/2006/main">
          <x14:cfRule type="dataBar" priority="1008" id="{003100F0-0077-4397-AEAA-000000BE0089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N135:N141</xm:sqref>
        </x14:conditionalFormatting>
        <x14:conditionalFormatting xmlns:xm="http://schemas.microsoft.com/office/excel/2006/main">
          <x14:cfRule type="dataBar" priority="1007" id="{005C0031-004E-4E96-936E-006400B40077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F134:F141</xm:sqref>
        </x14:conditionalFormatting>
        <x14:conditionalFormatting xmlns:xm="http://schemas.microsoft.com/office/excel/2006/main">
          <x14:cfRule type="dataBar" priority="1006" id="{00CB0060-003E-4101-B720-003C00A70077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F136</xm:sqref>
        </x14:conditionalFormatting>
        <x14:conditionalFormatting xmlns:xm="http://schemas.microsoft.com/office/excel/2006/main">
          <x14:cfRule type="dataBar" priority="1004" id="{001000BC-0000-4087-8B9A-0047001400E0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N124:N141</xm:sqref>
        </x14:conditionalFormatting>
        <x14:conditionalFormatting xmlns:xm="http://schemas.microsoft.com/office/excel/2006/main">
          <x14:cfRule type="dataBar" priority="1003" id="{00AC0087-00DD-4B34-8DF7-00ED00BD00BE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R124:R141</xm:sqref>
        </x14:conditionalFormatting>
        <x14:conditionalFormatting xmlns:xm="http://schemas.microsoft.com/office/excel/2006/main">
          <x14:cfRule type="dataBar" priority="1002" id="{00B10084-009E-453A-BC0D-006D00EB0091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R121:R141</xm:sqref>
        </x14:conditionalFormatting>
        <x14:conditionalFormatting xmlns:xm="http://schemas.microsoft.com/office/excel/2006/main">
          <x14:cfRule type="dataBar" priority="1001" id="{00DF0013-00C7-46FE-A164-006700C00046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F121:F133</xm:sqref>
        </x14:conditionalFormatting>
        <x14:conditionalFormatting xmlns:xm="http://schemas.microsoft.com/office/excel/2006/main">
          <x14:cfRule type="dataBar" priority="1000" id="{00180073-002A-4D5A-BB74-006D005A00DB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N121:N141</xm:sqref>
        </x14:conditionalFormatting>
        <x14:conditionalFormatting xmlns:xm="http://schemas.microsoft.com/office/excel/2006/main">
          <x14:cfRule type="dataBar" priority="999" id="{00CF00C7-00F5-4E3E-8F5D-006E006000E7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R124:R141</xm:sqref>
        </x14:conditionalFormatting>
        <x14:conditionalFormatting xmlns:xm="http://schemas.microsoft.com/office/excel/2006/main">
          <x14:cfRule type="dataBar" priority="998" id="{001900CC-007B-44D3-A37A-00F7003500E0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R124:R141</xm:sqref>
        </x14:conditionalFormatting>
        <x14:conditionalFormatting xmlns:xm="http://schemas.microsoft.com/office/excel/2006/main">
          <x14:cfRule type="dataBar" priority="997" id="{00D50018-0074-40FA-8A25-00610033003B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R124:R141</xm:sqref>
        </x14:conditionalFormatting>
        <x14:conditionalFormatting xmlns:xm="http://schemas.microsoft.com/office/excel/2006/main">
          <x14:cfRule type="dataBar" priority="996" id="{00970041-00AC-49B0-9549-0038008600CE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R124:R141</xm:sqref>
        </x14:conditionalFormatting>
        <x14:conditionalFormatting xmlns:xm="http://schemas.microsoft.com/office/excel/2006/main">
          <x14:cfRule type="dataBar" priority="995" id="{0085001A-007A-4CA4-B58C-00B200AF000C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R124:R141</xm:sqref>
        </x14:conditionalFormatting>
        <x14:conditionalFormatting xmlns:xm="http://schemas.microsoft.com/office/excel/2006/main">
          <x14:cfRule type="dataBar" priority="994" id="{00C7009C-006B-458C-856F-009F001100AF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R124:R141</xm:sqref>
        </x14:conditionalFormatting>
        <x14:conditionalFormatting xmlns:xm="http://schemas.microsoft.com/office/excel/2006/main">
          <x14:cfRule type="dataBar" priority="993" id="{003F006E-0019-4071-937B-000000FD009E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R124:R141</xm:sqref>
        </x14:conditionalFormatting>
        <x14:conditionalFormatting xmlns:xm="http://schemas.microsoft.com/office/excel/2006/main">
          <x14:cfRule type="dataBar" priority="992" id="{005F00E6-00AA-4552-B01E-006800A6009F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R124:R141</xm:sqref>
        </x14:conditionalFormatting>
        <x14:conditionalFormatting xmlns:xm="http://schemas.microsoft.com/office/excel/2006/main">
          <x14:cfRule type="dataBar" priority="991" id="{00C10083-00C3-4F12-9AA2-00A900980059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R124:R141</xm:sqref>
        </x14:conditionalFormatting>
        <x14:conditionalFormatting xmlns:xm="http://schemas.microsoft.com/office/excel/2006/main">
          <x14:cfRule type="dataBar" priority="990" id="{002C0027-00E0-458E-A805-0044002200D4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R124:R141</xm:sqref>
        </x14:conditionalFormatting>
        <x14:conditionalFormatting xmlns:xm="http://schemas.microsoft.com/office/excel/2006/main">
          <x14:cfRule type="dataBar" priority="989" id="{00E0008D-0033-4141-86E0-00C5002800DD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T4:T8 T10:T21</xm:sqref>
        </x14:conditionalFormatting>
        <x14:conditionalFormatting xmlns:xm="http://schemas.microsoft.com/office/excel/2006/main">
          <x14:cfRule type="dataBar" priority="987" id="{00F9008B-0015-44A0-8876-002F00F600D9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T28:T45</xm:sqref>
        </x14:conditionalFormatting>
        <x14:conditionalFormatting xmlns:xm="http://schemas.microsoft.com/office/excel/2006/main">
          <x14:cfRule type="dataBar" priority="985" id="{00CC0081-007A-4FF8-8C7E-00F7003400AD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T52:T69</xm:sqref>
        </x14:conditionalFormatting>
        <x14:conditionalFormatting xmlns:xm="http://schemas.microsoft.com/office/excel/2006/main">
          <x14:cfRule type="dataBar" priority="983" id="{00820057-0054-47A5-8124-002D00C5009D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T76:T93</xm:sqref>
        </x14:conditionalFormatting>
        <x14:conditionalFormatting xmlns:xm="http://schemas.microsoft.com/office/excel/2006/main">
          <x14:cfRule type="dataBar" priority="981" id="{0029009D-005E-494F-82A1-00D0001C007C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T100:T117</xm:sqref>
        </x14:conditionalFormatting>
        <x14:conditionalFormatting xmlns:xm="http://schemas.microsoft.com/office/excel/2006/main">
          <x14:cfRule type="dataBar" priority="979" id="{008F00ED-00E0-4CE1-AC5D-005500CC0054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T124:T141</xm:sqref>
        </x14:conditionalFormatting>
        <x14:conditionalFormatting xmlns:xm="http://schemas.microsoft.com/office/excel/2006/main">
          <x14:cfRule type="dataBar" priority="972" id="{00FC00D9-00D0-475F-B4F5-004F00E50014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T4:T8 T10:T21</xm:sqref>
        </x14:conditionalFormatting>
        <x14:conditionalFormatting xmlns:xm="http://schemas.microsoft.com/office/excel/2006/main">
          <x14:cfRule type="dataBar" priority="971" id="{00D700BE-007F-4C5A-B020-002700060096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T124:T141 T100:T117 T76:T93 T52:T69 T28:T45 T4:T8 T10:T21</xm:sqref>
        </x14:conditionalFormatting>
        <x14:conditionalFormatting xmlns:xm="http://schemas.microsoft.com/office/excel/2006/main">
          <x14:cfRule type="dataBar" priority="968" id="{00400014-0032-4EEC-9EB0-0094008E009B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F100:F117</xm:sqref>
        </x14:conditionalFormatting>
        <x14:conditionalFormatting xmlns:xm="http://schemas.microsoft.com/office/excel/2006/main">
          <x14:cfRule type="dataBar" priority="967" id="{005D006F-0022-4C49-9A7A-0034006900FE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F124:F141</xm:sqref>
        </x14:conditionalFormatting>
        <x14:conditionalFormatting xmlns:xm="http://schemas.microsoft.com/office/excel/2006/main">
          <x14:cfRule type="dataBar" priority="966" id="{00240063-0043-438E-BF6A-006A00BE0007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N9</xm:sqref>
        </x14:conditionalFormatting>
        <x14:conditionalFormatting xmlns:xm="http://schemas.microsoft.com/office/excel/2006/main">
          <x14:cfRule type="dataBar" priority="965" id="{00A5007A-001E-4F09-B9E7-0060008A0049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F9</xm:sqref>
        </x14:conditionalFormatting>
        <x14:conditionalFormatting xmlns:xm="http://schemas.microsoft.com/office/excel/2006/main">
          <x14:cfRule type="dataBar" priority="964" id="{003F00D9-00A4-4D41-BE94-0090000F00AC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R9</xm:sqref>
        </x14:conditionalFormatting>
        <x14:conditionalFormatting xmlns:xm="http://schemas.microsoft.com/office/excel/2006/main">
          <x14:cfRule type="dataBar" priority="963" id="{003700B3-008E-4230-A996-001F000E000D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R9</xm:sqref>
        </x14:conditionalFormatting>
        <x14:conditionalFormatting xmlns:xm="http://schemas.microsoft.com/office/excel/2006/main">
          <x14:cfRule type="dataBar" priority="962" id="{00A900FF-0000-4160-9D9F-009D001D004C}">
            <x14:dataBar maxLength="90" minLength="10" axisPosition="automatic" direction="context">
              <x14:cfvo type="min"/>
              <x14:cfvo type="max"/>
              <x14:fillColor rgb="FF63C384"/>
            </x14:dataBar>
          </x14:cfRule>
          <xm:sqref>N9</xm:sqref>
        </x14:conditionalFormatting>
        <x14:conditionalFormatting xmlns:xm="http://schemas.microsoft.com/office/excel/2006/main">
          <x14:cfRule type="dataBar" priority="961" id="{002A0039-00C7-4B7D-9A75-004D005F008B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F9</xm:sqref>
        </x14:conditionalFormatting>
        <x14:conditionalFormatting xmlns:xm="http://schemas.microsoft.com/office/excel/2006/main">
          <x14:cfRule type="dataBar" priority="960" id="{007A0057-009C-456D-8CE5-00C300C900D6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T9</xm:sqref>
        </x14:conditionalFormatting>
        <x14:conditionalFormatting xmlns:xm="http://schemas.microsoft.com/office/excel/2006/main">
          <x14:cfRule type="dataBar" priority="959" id="{00510011-0084-4D05-9662-00D0007600AA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T9</xm:sqref>
        </x14:conditionalFormatting>
        <x14:conditionalFormatting xmlns:xm="http://schemas.microsoft.com/office/excel/2006/main">
          <x14:cfRule type="dataBar" priority="958" id="{003A00AB-002C-4AAF-AC71-002C00AF00A1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T9</xm:sqref>
        </x14:conditionalFormatting>
        <x14:conditionalFormatting xmlns:xm="http://schemas.microsoft.com/office/excel/2006/main">
          <x14:cfRule type="dataBar" priority="957" id="{00960033-0008-42C0-A78D-00CF00F8008B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F8</xm:sqref>
        </x14:conditionalFormatting>
        <x14:conditionalFormatting xmlns:xm="http://schemas.microsoft.com/office/excel/2006/main">
          <x14:cfRule type="dataBar" priority="956" id="{003D00BA-0005-4B92-9605-00AE00F600D2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N8</xm:sqref>
        </x14:conditionalFormatting>
        <x14:conditionalFormatting xmlns:xm="http://schemas.microsoft.com/office/excel/2006/main">
          <x14:cfRule type="dataBar" priority="955" id="{00B000D2-0029-4D0E-9E54-0017008A007B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F4:F21</xm:sqref>
        </x14:conditionalFormatting>
        <x14:conditionalFormatting xmlns:xm="http://schemas.microsoft.com/office/excel/2006/main">
          <x14:cfRule type="dataBar" priority="954" id="{00B600C2-005D-482A-9ECF-00B200FE00D8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U4:U21</xm:sqref>
        </x14:conditionalFormatting>
        <x14:conditionalFormatting xmlns:xm="http://schemas.microsoft.com/office/excel/2006/main">
          <x14:cfRule type="dataBar" priority="953" id="{006B00AC-00F2-4799-89FF-00BF00910056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U4:U21</xm:sqref>
        </x14:conditionalFormatting>
        <x14:conditionalFormatting xmlns:xm="http://schemas.microsoft.com/office/excel/2006/main">
          <x14:cfRule type="dataBar" priority="951" id="{00DB00B7-0065-465F-B37B-00AB005A00E8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U9</xm:sqref>
        </x14:conditionalFormatting>
        <x14:conditionalFormatting xmlns:xm="http://schemas.microsoft.com/office/excel/2006/main">
          <x14:cfRule type="dataBar" priority="950" id="{00D000AE-002D-4BF8-BD6B-005B00CF00EF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U9</xm:sqref>
        </x14:conditionalFormatting>
        <x14:conditionalFormatting xmlns:xm="http://schemas.microsoft.com/office/excel/2006/main">
          <x14:cfRule type="dataBar" priority="949" id="{0013000C-0019-44BD-A838-00570060002C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U9</xm:sqref>
        </x14:conditionalFormatting>
        <x14:conditionalFormatting xmlns:xm="http://schemas.microsoft.com/office/excel/2006/main">
          <x14:cfRule type="dataBar" priority="948" id="{00A500AF-00D6-46BD-AF30-002900CB00AA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U4:U21</xm:sqref>
        </x14:conditionalFormatting>
        <x14:conditionalFormatting xmlns:xm="http://schemas.microsoft.com/office/excel/2006/main">
          <x14:cfRule type="dataBar" priority="947" id="{00AF006B-00D7-43BF-8387-0020005A0030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U28:U45</xm:sqref>
        </x14:conditionalFormatting>
        <x14:conditionalFormatting xmlns:xm="http://schemas.microsoft.com/office/excel/2006/main">
          <x14:cfRule type="dataBar" priority="946" id="{0020006E-005B-4FF4-B95C-00AD00C600A6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U28:U45</xm:sqref>
        </x14:conditionalFormatting>
        <x14:conditionalFormatting xmlns:xm="http://schemas.microsoft.com/office/excel/2006/main">
          <x14:cfRule type="dataBar" priority="944" id="{008A008C-0083-42DF-B35A-007600C600BB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U33</xm:sqref>
        </x14:conditionalFormatting>
        <x14:conditionalFormatting xmlns:xm="http://schemas.microsoft.com/office/excel/2006/main">
          <x14:cfRule type="dataBar" priority="943" id="{00BC00B1-007D-438B-8051-00CE00B5004E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U33</xm:sqref>
        </x14:conditionalFormatting>
        <x14:conditionalFormatting xmlns:xm="http://schemas.microsoft.com/office/excel/2006/main">
          <x14:cfRule type="dataBar" priority="942" id="{004F0046-00B7-4FA9-93E9-004C00D100D8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U33</xm:sqref>
        </x14:conditionalFormatting>
        <x14:conditionalFormatting xmlns:xm="http://schemas.microsoft.com/office/excel/2006/main">
          <x14:cfRule type="dataBar" priority="941" id="{00090091-005C-4A4E-8A05-00EE00F3007D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U52:U69</xm:sqref>
        </x14:conditionalFormatting>
        <x14:conditionalFormatting xmlns:xm="http://schemas.microsoft.com/office/excel/2006/main">
          <x14:cfRule type="dataBar" priority="940" id="{00D9008C-000E-428B-BD71-008200080022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U52:U69</xm:sqref>
        </x14:conditionalFormatting>
        <x14:conditionalFormatting xmlns:xm="http://schemas.microsoft.com/office/excel/2006/main">
          <x14:cfRule type="dataBar" priority="938" id="{00AF000B-0097-40D7-AE77-00E5005A00C3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U57</xm:sqref>
        </x14:conditionalFormatting>
        <x14:conditionalFormatting xmlns:xm="http://schemas.microsoft.com/office/excel/2006/main">
          <x14:cfRule type="dataBar" priority="937" id="{008B0061-008D-4F0E-A6A6-004700570068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U57</xm:sqref>
        </x14:conditionalFormatting>
        <x14:conditionalFormatting xmlns:xm="http://schemas.microsoft.com/office/excel/2006/main">
          <x14:cfRule type="dataBar" priority="936" id="{00CE00D9-008E-48AB-9E03-00FD004F0081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U57</xm:sqref>
        </x14:conditionalFormatting>
        <x14:conditionalFormatting xmlns:xm="http://schemas.microsoft.com/office/excel/2006/main">
          <x14:cfRule type="dataBar" priority="935" id="{002C00FB-005C-4F69-A19A-00D0005B0096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U76:U93</xm:sqref>
        </x14:conditionalFormatting>
        <x14:conditionalFormatting xmlns:xm="http://schemas.microsoft.com/office/excel/2006/main">
          <x14:cfRule type="dataBar" priority="934" id="{00E0003D-0086-4B77-93A7-007B00E000B6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U76:U93</xm:sqref>
        </x14:conditionalFormatting>
        <x14:conditionalFormatting xmlns:xm="http://schemas.microsoft.com/office/excel/2006/main">
          <x14:cfRule type="dataBar" priority="932" id="{00920077-0052-4611-8323-00F1008400DD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U81</xm:sqref>
        </x14:conditionalFormatting>
        <x14:conditionalFormatting xmlns:xm="http://schemas.microsoft.com/office/excel/2006/main">
          <x14:cfRule type="dataBar" priority="931" id="{0099001B-003B-4F02-BAE4-0062007400A1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U81</xm:sqref>
        </x14:conditionalFormatting>
        <x14:conditionalFormatting xmlns:xm="http://schemas.microsoft.com/office/excel/2006/main">
          <x14:cfRule type="dataBar" priority="930" id="{00FD002B-00B5-4547-877C-00BA00EB0096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U81</xm:sqref>
        </x14:conditionalFormatting>
        <x14:conditionalFormatting xmlns:xm="http://schemas.microsoft.com/office/excel/2006/main">
          <x14:cfRule type="dataBar" priority="929" id="{000B00ED-00C7-432D-BBD1-008A00A70096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U100:U117</xm:sqref>
        </x14:conditionalFormatting>
        <x14:conditionalFormatting xmlns:xm="http://schemas.microsoft.com/office/excel/2006/main">
          <x14:cfRule type="dataBar" priority="928" id="{00D300EF-006D-4A31-ADCD-00F600DF004B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U100:U117</xm:sqref>
        </x14:conditionalFormatting>
        <x14:conditionalFormatting xmlns:xm="http://schemas.microsoft.com/office/excel/2006/main">
          <x14:cfRule type="dataBar" priority="926" id="{0022007D-003B-488C-B034-0020005100E1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U105</xm:sqref>
        </x14:conditionalFormatting>
        <x14:conditionalFormatting xmlns:xm="http://schemas.microsoft.com/office/excel/2006/main">
          <x14:cfRule type="dataBar" priority="925" id="{0083006A-004D-4DED-9B4B-002100370026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U105</xm:sqref>
        </x14:conditionalFormatting>
        <x14:conditionalFormatting xmlns:xm="http://schemas.microsoft.com/office/excel/2006/main">
          <x14:cfRule type="dataBar" priority="924" id="{0007002C-007E-40BC-BE50-009000F400F4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U105</xm:sqref>
        </x14:conditionalFormatting>
        <x14:conditionalFormatting xmlns:xm="http://schemas.microsoft.com/office/excel/2006/main">
          <x14:cfRule type="dataBar" priority="923" id="{00720061-0054-4590-87A4-00640023005D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U124:U141</xm:sqref>
        </x14:conditionalFormatting>
        <x14:conditionalFormatting xmlns:xm="http://schemas.microsoft.com/office/excel/2006/main">
          <x14:cfRule type="dataBar" priority="922" id="{00E20054-00D3-4FBC-993E-0056008100A5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U124:U141</xm:sqref>
        </x14:conditionalFormatting>
        <x14:conditionalFormatting xmlns:xm="http://schemas.microsoft.com/office/excel/2006/main">
          <x14:cfRule type="dataBar" priority="920" id="{00B7007A-00B9-45C3-82F4-004F0076000A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U129</xm:sqref>
        </x14:conditionalFormatting>
        <x14:conditionalFormatting xmlns:xm="http://schemas.microsoft.com/office/excel/2006/main">
          <x14:cfRule type="dataBar" priority="919" id="{00E60071-0005-4489-9D41-00D8000B00AE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U129</xm:sqref>
        </x14:conditionalFormatting>
        <x14:conditionalFormatting xmlns:xm="http://schemas.microsoft.com/office/excel/2006/main">
          <x14:cfRule type="dataBar" priority="918" id="{00CF002A-00D6-442A-ADB4-007400D60028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U129</xm:sqref>
        </x14:conditionalFormatting>
        <x14:conditionalFormatting xmlns:xm="http://schemas.microsoft.com/office/excel/2006/main">
          <x14:cfRule type="dataBar" priority="917" id="{005E00F6-0056-4053-8904-000100800057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U28:U45</xm:sqref>
        </x14:conditionalFormatting>
        <x14:conditionalFormatting xmlns:xm="http://schemas.microsoft.com/office/excel/2006/main">
          <x14:cfRule type="dataBar" priority="916" id="{00AD0046-00D0-43FF-9C30-0055004600CC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U52:U69</xm:sqref>
        </x14:conditionalFormatting>
        <x14:conditionalFormatting xmlns:xm="http://schemas.microsoft.com/office/excel/2006/main">
          <x14:cfRule type="dataBar" priority="915" id="{004B004A-0089-4E23-9EBC-0017001E00DB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U76:U93</xm:sqref>
        </x14:conditionalFormatting>
        <x14:conditionalFormatting xmlns:xm="http://schemas.microsoft.com/office/excel/2006/main">
          <x14:cfRule type="dataBar" priority="914" id="{00EC0058-002E-4094-97DB-000400BE005F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U100:U117</xm:sqref>
        </x14:conditionalFormatting>
        <x14:conditionalFormatting xmlns:xm="http://schemas.microsoft.com/office/excel/2006/main">
          <x14:cfRule type="dataBar" priority="913" id="{007C0060-00F6-46B0-A4F9-0000005A00AF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U124:U141</xm:sqref>
        </x14:conditionalFormatting>
        <x14:conditionalFormatting xmlns:xm="http://schemas.microsoft.com/office/excel/2006/main">
          <x14:cfRule type="dataBar" priority="912" id="{006100E9-0051-4086-BD34-000B00B6003C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T124:T141</xm:sqref>
        </x14:conditionalFormatting>
        <x14:conditionalFormatting xmlns:xm="http://schemas.microsoft.com/office/excel/2006/main">
          <x14:cfRule type="dataBar" priority="911" id="{00E900DE-000F-478A-BD71-00C50001006F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T100:T117</xm:sqref>
        </x14:conditionalFormatting>
        <x14:conditionalFormatting xmlns:xm="http://schemas.microsoft.com/office/excel/2006/main">
          <x14:cfRule type="dataBar" priority="910" id="{00C0004E-00CA-4411-91A8-007200E200CD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T76:T93</xm:sqref>
        </x14:conditionalFormatting>
        <x14:conditionalFormatting xmlns:xm="http://schemas.microsoft.com/office/excel/2006/main">
          <x14:cfRule type="dataBar" priority="909" id="{00810050-0023-4E44-9EEA-00C2004E0024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T52:T69</xm:sqref>
        </x14:conditionalFormatting>
        <x14:conditionalFormatting xmlns:xm="http://schemas.microsoft.com/office/excel/2006/main">
          <x14:cfRule type="dataBar" priority="908" id="{001C00C0-00A6-43AC-A113-00BD005B00D9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T28:T45</xm:sqref>
        </x14:conditionalFormatting>
        <x14:conditionalFormatting xmlns:xm="http://schemas.microsoft.com/office/excel/2006/main">
          <x14:cfRule type="dataBar" priority="907" id="{0061001A-008D-4094-AA11-00AF008500A7}">
            <x14:dataBar maxLength="90" minLength="10" axisPosition="automatic" direction="context">
              <x14:cfvo type="min"/>
              <x14:cfvo type="max"/>
              <x14:fillColor rgb="FF008AEF"/>
            </x14:dataBar>
          </x14:cfRule>
          <xm:sqref>T4:T21</xm:sqref>
        </x14:conditionalFormatting>
        <x14:conditionalFormatting xmlns:xm="http://schemas.microsoft.com/office/excel/2006/main">
          <x14:cfRule type="dataBar" priority="906" id="{007B0041-0011-4257-BA32-00C3008C0070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S145:S148 S152</xm:sqref>
        </x14:conditionalFormatting>
        <x14:conditionalFormatting xmlns:xm="http://schemas.microsoft.com/office/excel/2006/main">
          <x14:cfRule type="dataBar" priority="905" id="{00FF0025-00A0-4626-BB0E-00500003005F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F145:F148 F152</xm:sqref>
        </x14:conditionalFormatting>
        <x14:conditionalFormatting xmlns:xm="http://schemas.microsoft.com/office/excel/2006/main">
          <x14:cfRule type="dataBar" priority="904" id="{003000C4-001E-4A88-8B6D-005E00E200FC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N145:N148 N152</xm:sqref>
        </x14:conditionalFormatting>
        <x14:conditionalFormatting xmlns:xm="http://schemas.microsoft.com/office/excel/2006/main">
          <x14:cfRule type="dataBar" priority="903" id="{00710099-007C-4B01-ADD2-0061007300A3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F145:F146</xm:sqref>
        </x14:conditionalFormatting>
        <x14:conditionalFormatting xmlns:xm="http://schemas.microsoft.com/office/excel/2006/main">
          <x14:cfRule type="dataBar" priority="902" id="{00CD00DB-0033-486E-ABAC-00F2005C0008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F145:F146</xm:sqref>
        </x14:conditionalFormatting>
        <x14:conditionalFormatting xmlns:xm="http://schemas.microsoft.com/office/excel/2006/main">
          <x14:cfRule type="dataBar" priority="901" id="{00C7005C-0096-4ACB-81C5-0071002B0036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N145:N146</xm:sqref>
        </x14:conditionalFormatting>
        <x14:conditionalFormatting xmlns:xm="http://schemas.microsoft.com/office/excel/2006/main">
          <x14:cfRule type="dataBar" priority="900" id="{007D0031-0034-45D9-85C4-007000BB0078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S145:S146</xm:sqref>
        </x14:conditionalFormatting>
        <x14:conditionalFormatting xmlns:xm="http://schemas.microsoft.com/office/excel/2006/main">
          <x14:cfRule type="dataBar" priority="899" id="{0017001A-004D-4B0E-A99E-00B4009200A8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S145:S146</xm:sqref>
        </x14:conditionalFormatting>
        <x14:conditionalFormatting xmlns:xm="http://schemas.microsoft.com/office/excel/2006/main">
          <x14:cfRule type="dataBar" priority="898" id="{007500E5-0051-423F-8DC8-0076000C00AA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N145:N146</xm:sqref>
        </x14:conditionalFormatting>
        <x14:conditionalFormatting xmlns:xm="http://schemas.microsoft.com/office/excel/2006/main">
          <x14:cfRule type="dataBar" priority="897" id="{0066000F-002F-42ED-A39B-00D20057007C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S145:S146</xm:sqref>
        </x14:conditionalFormatting>
        <x14:conditionalFormatting xmlns:xm="http://schemas.microsoft.com/office/excel/2006/main">
          <x14:cfRule type="dataBar" priority="896" id="{005C0040-0098-49B4-A543-0067007F00EA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S145:S146</xm:sqref>
        </x14:conditionalFormatting>
        <x14:conditionalFormatting xmlns:xm="http://schemas.microsoft.com/office/excel/2006/main">
          <x14:cfRule type="dataBar" priority="895" id="{00EC0050-001F-4842-882C-000500F5002A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S145:S146</xm:sqref>
        </x14:conditionalFormatting>
        <x14:conditionalFormatting xmlns:xm="http://schemas.microsoft.com/office/excel/2006/main">
          <x14:cfRule type="dataBar" priority="894" id="{009400DF-00EA-4918-BE54-000400C6002B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S145:S146</xm:sqref>
        </x14:conditionalFormatting>
        <x14:conditionalFormatting xmlns:xm="http://schemas.microsoft.com/office/excel/2006/main">
          <x14:cfRule type="dataBar" priority="893" id="{00CB0094-00EC-45E1-95AC-00DC00B20041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S145:S146</xm:sqref>
        </x14:conditionalFormatting>
        <x14:conditionalFormatting xmlns:xm="http://schemas.microsoft.com/office/excel/2006/main">
          <x14:cfRule type="dataBar" priority="892" id="{00BE007B-00CF-4893-9862-008E00FB006B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F145:F146</xm:sqref>
        </x14:conditionalFormatting>
        <x14:conditionalFormatting xmlns:xm="http://schemas.microsoft.com/office/excel/2006/main">
          <x14:cfRule type="dataBar" priority="891" id="{00CA00F3-0047-469F-A2CA-00F7008000C4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N145:N146</xm:sqref>
        </x14:conditionalFormatting>
        <x14:conditionalFormatting xmlns:xm="http://schemas.microsoft.com/office/excel/2006/main">
          <x14:cfRule type="dataBar" priority="890" id="{002200BA-0014-44E1-9394-003400F7000D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F145:F147</xm:sqref>
        </x14:conditionalFormatting>
        <x14:conditionalFormatting xmlns:xm="http://schemas.microsoft.com/office/excel/2006/main">
          <x14:cfRule type="dataBar" priority="889" id="{00EE0072-00E5-4482-BED5-0051009600C6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F145:F147</xm:sqref>
        </x14:conditionalFormatting>
        <x14:conditionalFormatting xmlns:xm="http://schemas.microsoft.com/office/excel/2006/main">
          <x14:cfRule type="dataBar" priority="888" id="{00930032-0089-42CF-9190-000D000000E1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N145:N147</xm:sqref>
        </x14:conditionalFormatting>
        <x14:conditionalFormatting xmlns:xm="http://schemas.microsoft.com/office/excel/2006/main">
          <x14:cfRule type="dataBar" priority="887" id="{007E0073-008D-4B70-915A-009A00290009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S145:S147</xm:sqref>
        </x14:conditionalFormatting>
        <x14:conditionalFormatting xmlns:xm="http://schemas.microsoft.com/office/excel/2006/main">
          <x14:cfRule type="dataBar" priority="886" id="{00820088-005D-46BC-83B6-00A300A80084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S145:S147</xm:sqref>
        </x14:conditionalFormatting>
        <x14:conditionalFormatting xmlns:xm="http://schemas.microsoft.com/office/excel/2006/main">
          <x14:cfRule type="dataBar" priority="885" id="{00A00064-009B-4DBF-909E-002900D900F4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S145:S147</xm:sqref>
        </x14:conditionalFormatting>
        <x14:conditionalFormatting xmlns:xm="http://schemas.microsoft.com/office/excel/2006/main">
          <x14:cfRule type="dataBar" priority="884" id="{000400FE-0047-48FB-9DB3-00140072009B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S145:S147</xm:sqref>
        </x14:conditionalFormatting>
        <x14:conditionalFormatting xmlns:xm="http://schemas.microsoft.com/office/excel/2006/main">
          <x14:cfRule type="dataBar" priority="883" id="{00AA005F-0021-4925-8CDD-00AD00980070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S145:S147</xm:sqref>
        </x14:conditionalFormatting>
        <x14:conditionalFormatting xmlns:xm="http://schemas.microsoft.com/office/excel/2006/main">
          <x14:cfRule type="dataBar" priority="882" id="{00540007-0098-4F60-A25B-0010000200C9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F146</xm:sqref>
        </x14:conditionalFormatting>
        <x14:conditionalFormatting xmlns:xm="http://schemas.microsoft.com/office/excel/2006/main">
          <x14:cfRule type="dataBar" priority="881" id="{006600D1-002F-48CB-8109-00CA00300072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F145:F147</xm:sqref>
        </x14:conditionalFormatting>
        <x14:conditionalFormatting xmlns:xm="http://schemas.microsoft.com/office/excel/2006/main">
          <x14:cfRule type="dataBar" priority="880" id="{009D00A0-00D0-472C-AB77-00D100E500A1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F145</xm:sqref>
        </x14:conditionalFormatting>
        <x14:conditionalFormatting xmlns:xm="http://schemas.microsoft.com/office/excel/2006/main">
          <x14:cfRule type="dataBar" priority="879" id="{00380038-00DD-4C6F-A4A3-007E004E0068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F145:F147</xm:sqref>
        </x14:conditionalFormatting>
        <x14:conditionalFormatting xmlns:xm="http://schemas.microsoft.com/office/excel/2006/main">
          <x14:cfRule type="dataBar" priority="878" id="{00520093-00C4-4BE0-9F64-00BD004800DF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N145:N147</xm:sqref>
        </x14:conditionalFormatting>
        <x14:conditionalFormatting xmlns:xm="http://schemas.microsoft.com/office/excel/2006/main">
          <x14:cfRule type="dataBar" priority="877" id="{002E0025-0054-478D-BF57-0083005E00F4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S145:S147</xm:sqref>
        </x14:conditionalFormatting>
        <x14:conditionalFormatting xmlns:xm="http://schemas.microsoft.com/office/excel/2006/main">
          <x14:cfRule type="dataBar" priority="876" id="{002F0003-006A-4AC7-BF97-00CA00F7003A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S145:S147</xm:sqref>
        </x14:conditionalFormatting>
        <x14:conditionalFormatting xmlns:xm="http://schemas.microsoft.com/office/excel/2006/main">
          <x14:cfRule type="dataBar" priority="875" id="{003E005F-00F5-435E-A93A-00BD008100B8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N145:N147</xm:sqref>
        </x14:conditionalFormatting>
        <x14:conditionalFormatting xmlns:xm="http://schemas.microsoft.com/office/excel/2006/main">
          <x14:cfRule type="dataBar" priority="874" id="{00D40070-0011-41E0-9FD7-007D001C003D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S145:S147</xm:sqref>
        </x14:conditionalFormatting>
        <x14:conditionalFormatting xmlns:xm="http://schemas.microsoft.com/office/excel/2006/main">
          <x14:cfRule type="dataBar" priority="873" id="{0082002A-00B9-4F48-BE75-009300F4006F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S145:S147</xm:sqref>
        </x14:conditionalFormatting>
        <x14:conditionalFormatting xmlns:xm="http://schemas.microsoft.com/office/excel/2006/main">
          <x14:cfRule type="dataBar" priority="872" id="{001700A6-00EC-495E-99D7-00E900F400B0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S145:S147</xm:sqref>
        </x14:conditionalFormatting>
        <x14:conditionalFormatting xmlns:xm="http://schemas.microsoft.com/office/excel/2006/main">
          <x14:cfRule type="dataBar" priority="871" id="{0097000A-009E-4659-B361-003E0064006E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S145:S147</xm:sqref>
        </x14:conditionalFormatting>
        <x14:conditionalFormatting xmlns:xm="http://schemas.microsoft.com/office/excel/2006/main">
          <x14:cfRule type="dataBar" priority="870" id="{0008006F-0025-4399-9DAB-00B5008800BA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S161:S163</xm:sqref>
        </x14:conditionalFormatting>
        <x14:conditionalFormatting xmlns:xm="http://schemas.microsoft.com/office/excel/2006/main">
          <x14:cfRule type="dataBar" priority="869" id="{006C00E4-002E-43BC-9372-000400030019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F161:F163</xm:sqref>
        </x14:conditionalFormatting>
        <x14:conditionalFormatting xmlns:xm="http://schemas.microsoft.com/office/excel/2006/main">
          <x14:cfRule type="dataBar" priority="868" id="{00280097-0089-45BA-B0A6-00E300CD0022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N161:N163</xm:sqref>
        </x14:conditionalFormatting>
        <x14:conditionalFormatting xmlns:xm="http://schemas.microsoft.com/office/excel/2006/main">
          <x14:cfRule type="dataBar" priority="867" id="{002E00DE-00FF-4174-8884-00F400D600ED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F160:F163</xm:sqref>
        </x14:conditionalFormatting>
        <x14:conditionalFormatting xmlns:xm="http://schemas.microsoft.com/office/excel/2006/main">
          <x14:cfRule type="dataBar" priority="866" id="{00D20028-0039-40B8-8D5A-00C900930087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F162</xm:sqref>
        </x14:conditionalFormatting>
        <x14:conditionalFormatting xmlns:xm="http://schemas.microsoft.com/office/excel/2006/main">
          <x14:cfRule type="dataBar" priority="843" id="{007C0064-0018-455A-ABAF-0034002C003C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U154</xm:sqref>
        </x14:conditionalFormatting>
        <x14:conditionalFormatting xmlns:xm="http://schemas.microsoft.com/office/excel/2006/main">
          <x14:cfRule type="dataBar" priority="842" id="{00BE00C8-0094-4FD0-A94B-00FC004700E6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U154</xm:sqref>
        </x14:conditionalFormatting>
        <x14:conditionalFormatting xmlns:xm="http://schemas.microsoft.com/office/excel/2006/main">
          <x14:cfRule type="dataBar" priority="841" id="{0042000C-00E3-42BB-9FE7-000500BC006A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U154</xm:sqref>
        </x14:conditionalFormatting>
        <x14:conditionalFormatting xmlns:xm="http://schemas.microsoft.com/office/excel/2006/main">
          <x14:cfRule type="dataBar" priority="840" id="{004B0000-008A-400F-A9C8-006200D60076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S149</xm:sqref>
        </x14:conditionalFormatting>
        <x14:conditionalFormatting xmlns:xm="http://schemas.microsoft.com/office/excel/2006/main">
          <x14:cfRule type="dataBar" priority="839" id="{0033008C-00A7-4F4D-8C41-0043003400B6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F149</xm:sqref>
        </x14:conditionalFormatting>
        <x14:conditionalFormatting xmlns:xm="http://schemas.microsoft.com/office/excel/2006/main">
          <x14:cfRule type="dataBar" priority="838" id="{0087007C-009B-4A1D-BD46-00D3008900EE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N149</xm:sqref>
        </x14:conditionalFormatting>
        <x14:conditionalFormatting xmlns:xm="http://schemas.microsoft.com/office/excel/2006/main">
          <x14:cfRule type="dataBar" priority="837" id="{00DA0055-0071-4364-9EF2-006500810057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F149</xm:sqref>
        </x14:conditionalFormatting>
        <x14:conditionalFormatting xmlns:xm="http://schemas.microsoft.com/office/excel/2006/main">
          <x14:cfRule type="dataBar" priority="836" id="{00F900A1-0009-4642-A2CE-000900B80047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N149</xm:sqref>
        </x14:conditionalFormatting>
        <x14:conditionalFormatting xmlns:xm="http://schemas.microsoft.com/office/excel/2006/main">
          <x14:cfRule type="dataBar" priority="835" id="{007900BE-0096-4D8B-913C-000900E4003E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S149</xm:sqref>
        </x14:conditionalFormatting>
        <x14:conditionalFormatting xmlns:xm="http://schemas.microsoft.com/office/excel/2006/main">
          <x14:cfRule type="dataBar" priority="834" id="{008300C3-00B4-432C-AAD8-00380091001F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S149</xm:sqref>
        </x14:conditionalFormatting>
        <x14:conditionalFormatting xmlns:xm="http://schemas.microsoft.com/office/excel/2006/main">
          <x14:cfRule type="dataBar" priority="833" id="{00E10075-00EC-4A99-AE50-009600280036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F149</xm:sqref>
        </x14:conditionalFormatting>
        <x14:conditionalFormatting xmlns:xm="http://schemas.microsoft.com/office/excel/2006/main">
          <x14:cfRule type="dataBar" priority="832" id="{00C500DF-00D9-4387-9583-0037007E00A4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N149</xm:sqref>
        </x14:conditionalFormatting>
        <x14:conditionalFormatting xmlns:xm="http://schemas.microsoft.com/office/excel/2006/main">
          <x14:cfRule type="dataBar" priority="831" id="{009E00C2-000E-457F-B180-005000E900BD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S149</xm:sqref>
        </x14:conditionalFormatting>
        <x14:conditionalFormatting xmlns:xm="http://schemas.microsoft.com/office/excel/2006/main">
          <x14:cfRule type="dataBar" priority="830" id="{00E5004F-009D-49AF-9E64-00DA00FA009F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S149</xm:sqref>
        </x14:conditionalFormatting>
        <x14:conditionalFormatting xmlns:xm="http://schemas.microsoft.com/office/excel/2006/main">
          <x14:cfRule type="dataBar" priority="829" id="{0075003F-00F4-49D1-9B60-007F00E500C5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S149</xm:sqref>
        </x14:conditionalFormatting>
        <x14:conditionalFormatting xmlns:xm="http://schemas.microsoft.com/office/excel/2006/main">
          <x14:cfRule type="dataBar" priority="828" id="{000D00BF-003B-4C50-B1C1-005C00770072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S149</xm:sqref>
        </x14:conditionalFormatting>
        <x14:conditionalFormatting xmlns:xm="http://schemas.microsoft.com/office/excel/2006/main">
          <x14:cfRule type="dataBar" priority="827" id="{00BE0041-0019-411E-B23B-005600100024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S149</xm:sqref>
        </x14:conditionalFormatting>
        <x14:conditionalFormatting xmlns:xm="http://schemas.microsoft.com/office/excel/2006/main">
          <x14:cfRule type="dataBar" priority="826" id="{007D00A7-00D8-44B8-89B2-0089001B0013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S149</xm:sqref>
        </x14:conditionalFormatting>
        <x14:conditionalFormatting xmlns:xm="http://schemas.microsoft.com/office/excel/2006/main">
          <x14:cfRule type="dataBar" priority="825" id="{008E0005-001B-401B-A10D-00DC002700BE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S149</xm:sqref>
        </x14:conditionalFormatting>
        <x14:conditionalFormatting xmlns:xm="http://schemas.microsoft.com/office/excel/2006/main">
          <x14:cfRule type="dataBar" priority="824" id="{00C100F0-0047-4E9C-8040-008800610092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S149</xm:sqref>
        </x14:conditionalFormatting>
        <x14:conditionalFormatting xmlns:xm="http://schemas.microsoft.com/office/excel/2006/main">
          <x14:cfRule type="dataBar" priority="823" id="{00730034-00A6-455F-94B4-006400460057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S149</xm:sqref>
        </x14:conditionalFormatting>
        <x14:conditionalFormatting xmlns:xm="http://schemas.microsoft.com/office/excel/2006/main">
          <x14:cfRule type="dataBar" priority="822" id="{005400F7-00DD-4C96-A376-003500BD00C1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S149</xm:sqref>
        </x14:conditionalFormatting>
        <x14:conditionalFormatting xmlns:xm="http://schemas.microsoft.com/office/excel/2006/main">
          <x14:cfRule type="dataBar" priority="821" id="{008100AD-00E8-4BEF-A76F-00E300D30004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T149</xm:sqref>
        </x14:conditionalFormatting>
        <x14:conditionalFormatting xmlns:xm="http://schemas.microsoft.com/office/excel/2006/main">
          <x14:cfRule type="dataBar" priority="820" id="{00D400A7-0054-4C7D-9273-006400350049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T149</xm:sqref>
        </x14:conditionalFormatting>
        <x14:conditionalFormatting xmlns:xm="http://schemas.microsoft.com/office/excel/2006/main">
          <x14:cfRule type="dataBar" priority="819" id="{0073006D-007E-4FB1-BFBF-004A000B009A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T149</xm:sqref>
        </x14:conditionalFormatting>
        <x14:conditionalFormatting xmlns:xm="http://schemas.microsoft.com/office/excel/2006/main">
          <x14:cfRule type="dataBar" priority="818" id="{00830026-00E4-4B7F-AE48-00ED00A2003C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U149</xm:sqref>
        </x14:conditionalFormatting>
        <x14:conditionalFormatting xmlns:xm="http://schemas.microsoft.com/office/excel/2006/main">
          <x14:cfRule type="dataBar" priority="817" id="{003B0028-0050-46F2-9F1F-00A3000900B8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U149</xm:sqref>
        </x14:conditionalFormatting>
        <x14:conditionalFormatting xmlns:xm="http://schemas.microsoft.com/office/excel/2006/main">
          <x14:cfRule type="dataBar" priority="816" id="{007B00D7-00C8-41E0-A4B9-0021008C0086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U149</xm:sqref>
        </x14:conditionalFormatting>
        <x14:conditionalFormatting xmlns:xm="http://schemas.microsoft.com/office/excel/2006/main">
          <x14:cfRule type="dataBar" priority="814" id="{00DC00F8-00E2-45A0-9014-0075002200D4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F151</xm:sqref>
        </x14:conditionalFormatting>
        <x14:conditionalFormatting xmlns:xm="http://schemas.microsoft.com/office/excel/2006/main">
          <x14:cfRule type="dataBar" priority="813" id="{00820087-00D4-49CA-A5CD-00AE00E50084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N151</xm:sqref>
        </x14:conditionalFormatting>
        <x14:conditionalFormatting xmlns:xm="http://schemas.microsoft.com/office/excel/2006/main">
          <x14:cfRule type="dataBar" priority="812" id="{0001000B-0051-467B-943C-0029002A00DE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F151</xm:sqref>
        </x14:conditionalFormatting>
        <x14:conditionalFormatting xmlns:xm="http://schemas.microsoft.com/office/excel/2006/main">
          <x14:cfRule type="dataBar" priority="811" id="{00C90039-00DB-46F5-81AB-0004002D00DE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N151</xm:sqref>
        </x14:conditionalFormatting>
        <x14:conditionalFormatting xmlns:xm="http://schemas.microsoft.com/office/excel/2006/main">
          <x14:cfRule type="dataBar" priority="808" id="{0015007A-0047-4790-A1F9-004F00AE00FD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F151</xm:sqref>
        </x14:conditionalFormatting>
        <x14:conditionalFormatting xmlns:xm="http://schemas.microsoft.com/office/excel/2006/main">
          <x14:cfRule type="dataBar" priority="807" id="{00DB0079-00A0-42FD-88C0-00190029002D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N151</xm:sqref>
        </x14:conditionalFormatting>
        <x14:conditionalFormatting xmlns:xm="http://schemas.microsoft.com/office/excel/2006/main">
          <x14:cfRule type="dataBar" priority="790" id="{00D10047-00B7-47F3-971D-00AB00A200CB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S149</xm:sqref>
        </x14:conditionalFormatting>
        <x14:conditionalFormatting xmlns:xm="http://schemas.microsoft.com/office/excel/2006/main">
          <x14:cfRule type="dataBar" priority="789" id="{002400A3-00C9-4326-9A81-0090004B00E4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S149</xm:sqref>
        </x14:conditionalFormatting>
        <x14:conditionalFormatting xmlns:xm="http://schemas.microsoft.com/office/excel/2006/main">
          <x14:cfRule type="dataBar" priority="788" id="{0066001D-003C-4839-8FF5-00C200F20078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S149</xm:sqref>
        </x14:conditionalFormatting>
        <x14:conditionalFormatting xmlns:xm="http://schemas.microsoft.com/office/excel/2006/main">
          <x14:cfRule type="dataBar" priority="787" id="{00A2003E-00D6-45D7-A7D9-005D00360065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S149</xm:sqref>
        </x14:conditionalFormatting>
        <x14:conditionalFormatting xmlns:xm="http://schemas.microsoft.com/office/excel/2006/main">
          <x14:cfRule type="dataBar" priority="786" id="{0085003D-002F-46A1-A336-00E800EA0078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S149</xm:sqref>
        </x14:conditionalFormatting>
        <x14:conditionalFormatting xmlns:xm="http://schemas.microsoft.com/office/excel/2006/main">
          <x14:cfRule type="dataBar" priority="785" id="{000F00C4-0001-4397-8DFC-005E00CD007A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S149</xm:sqref>
        </x14:conditionalFormatting>
        <x14:conditionalFormatting xmlns:xm="http://schemas.microsoft.com/office/excel/2006/main">
          <x14:cfRule type="dataBar" priority="784" id="{00280093-0035-4BC3-BBC8-0017008600F3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S149</xm:sqref>
        </x14:conditionalFormatting>
        <x14:conditionalFormatting xmlns:xm="http://schemas.microsoft.com/office/excel/2006/main">
          <x14:cfRule type="dataBar" priority="783" id="{004000E4-00CA-40C7-9091-008B00F1006B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S149</xm:sqref>
        </x14:conditionalFormatting>
        <x14:conditionalFormatting xmlns:xm="http://schemas.microsoft.com/office/excel/2006/main">
          <x14:cfRule type="dataBar" priority="782" id="{007500DA-00E9-4FFB-8DAE-00AC00CC00B4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S149</xm:sqref>
        </x14:conditionalFormatting>
        <x14:conditionalFormatting xmlns:xm="http://schemas.microsoft.com/office/excel/2006/main">
          <x14:cfRule type="dataBar" priority="781" id="{002D005D-00DA-413A-AAC4-0016003800B7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S149</xm:sqref>
        </x14:conditionalFormatting>
        <x14:conditionalFormatting xmlns:xm="http://schemas.microsoft.com/office/excel/2006/main">
          <x14:cfRule type="dataBar" priority="780" id="{0015004C-00EE-49A9-9B93-005A00740061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S149</xm:sqref>
        </x14:conditionalFormatting>
        <x14:conditionalFormatting xmlns:xm="http://schemas.microsoft.com/office/excel/2006/main">
          <x14:cfRule type="dataBar" priority="779" id="{005600E6-003C-42A2-B5B1-005700D800DF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S149</xm:sqref>
        </x14:conditionalFormatting>
        <x14:conditionalFormatting xmlns:xm="http://schemas.microsoft.com/office/excel/2006/main">
          <x14:cfRule type="dataBar" priority="778" id="{00330079-0085-4D7C-9F01-00AB00920008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S149</xm:sqref>
        </x14:conditionalFormatting>
        <x14:conditionalFormatting xmlns:xm="http://schemas.microsoft.com/office/excel/2006/main">
          <x14:cfRule type="dataBar" priority="764" id="{00CB0025-00DE-416A-9F2E-0081008F00BD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S154</xm:sqref>
        </x14:conditionalFormatting>
        <x14:conditionalFormatting xmlns:xm="http://schemas.microsoft.com/office/excel/2006/main">
          <x14:cfRule type="dataBar" priority="763" id="{004C0011-003B-436D-9333-00EF007F0052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F154</xm:sqref>
        </x14:conditionalFormatting>
        <x14:conditionalFormatting xmlns:xm="http://schemas.microsoft.com/office/excel/2006/main">
          <x14:cfRule type="dataBar" priority="762" id="{00AD000B-00D9-4AA4-B61A-00F300680013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N154</xm:sqref>
        </x14:conditionalFormatting>
        <x14:conditionalFormatting xmlns:xm="http://schemas.microsoft.com/office/excel/2006/main">
          <x14:cfRule type="dataBar" priority="746" id="{00F9001B-002A-413B-AF7D-00B100B6006C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F160</xm:sqref>
        </x14:conditionalFormatting>
        <x14:conditionalFormatting xmlns:xm="http://schemas.microsoft.com/office/excel/2006/main">
          <x14:cfRule type="dataBar" priority="742" id="{00CC00EF-0015-467A-8544-00F0009C00BA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F160:F162</xm:sqref>
        </x14:conditionalFormatting>
        <x14:conditionalFormatting xmlns:xm="http://schemas.microsoft.com/office/excel/2006/main">
          <x14:cfRule type="dataBar" priority="738" id="{002D004F-00D9-4D19-98E0-00C800DE0095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F160:F163</xm:sqref>
        </x14:conditionalFormatting>
        <x14:conditionalFormatting xmlns:xm="http://schemas.microsoft.com/office/excel/2006/main">
          <x14:cfRule type="dataBar" priority="734" id="{00870093-00EE-441B-9257-00E200420042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T154</xm:sqref>
        </x14:conditionalFormatting>
        <x14:conditionalFormatting xmlns:xm="http://schemas.microsoft.com/office/excel/2006/main">
          <x14:cfRule type="dataBar" priority="733" id="{002900D9-008A-4A6F-A586-006F004400A4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T154</xm:sqref>
        </x14:conditionalFormatting>
        <x14:conditionalFormatting xmlns:xm="http://schemas.microsoft.com/office/excel/2006/main">
          <x14:cfRule type="dataBar" priority="732" id="{0074006D-003C-41DF-A033-004D00C90026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T154</xm:sqref>
        </x14:conditionalFormatting>
        <x14:conditionalFormatting xmlns:xm="http://schemas.microsoft.com/office/excel/2006/main">
          <x14:cfRule type="dataBar" priority="731" id="{00510060-00C5-420F-9714-00760035001A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T160</xm:sqref>
        </x14:conditionalFormatting>
        <x14:conditionalFormatting xmlns:xm="http://schemas.microsoft.com/office/excel/2006/main">
          <x14:cfRule type="dataBar" priority="730" id="{00D500AA-00CB-4431-BFE8-003700430007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T160</xm:sqref>
        </x14:conditionalFormatting>
        <x14:conditionalFormatting xmlns:xm="http://schemas.microsoft.com/office/excel/2006/main">
          <x14:cfRule type="dataBar" priority="729" id="{00CB00A7-008E-47A4-89C7-00B5001A000F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T160</xm:sqref>
        </x14:conditionalFormatting>
        <x14:conditionalFormatting xmlns:xm="http://schemas.microsoft.com/office/excel/2006/main">
          <x14:cfRule type="dataBar" priority="728" id="{004A00AB-00D8-4F30-9C26-006B00F40058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T159</xm:sqref>
        </x14:conditionalFormatting>
        <x14:conditionalFormatting xmlns:xm="http://schemas.microsoft.com/office/excel/2006/main">
          <x14:cfRule type="dataBar" priority="727" id="{00EE006E-00DE-49E7-839F-007E0021000E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T159</xm:sqref>
        </x14:conditionalFormatting>
        <x14:conditionalFormatting xmlns:xm="http://schemas.microsoft.com/office/excel/2006/main">
          <x14:cfRule type="dataBar" priority="726" id="{00800028-00BC-4C70-B85A-001100A50021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T159</xm:sqref>
        </x14:conditionalFormatting>
        <x14:conditionalFormatting xmlns:xm="http://schemas.microsoft.com/office/excel/2006/main">
          <x14:cfRule type="dataBar" priority="716" id="{00C40045-00A6-426C-AA97-00FE00DD00D6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U154</xm:sqref>
        </x14:conditionalFormatting>
        <x14:conditionalFormatting xmlns:xm="http://schemas.microsoft.com/office/excel/2006/main">
          <x14:cfRule type="dataBar" priority="715" id="{00970015-00A6-4489-9655-00FB00B1009A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U154</xm:sqref>
        </x14:conditionalFormatting>
        <x14:conditionalFormatting xmlns:xm="http://schemas.microsoft.com/office/excel/2006/main">
          <x14:cfRule type="dataBar" priority="713" id="{0093009D-0022-4172-9ED9-00B4009300C7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U160</xm:sqref>
        </x14:conditionalFormatting>
        <x14:conditionalFormatting xmlns:xm="http://schemas.microsoft.com/office/excel/2006/main">
          <x14:cfRule type="dataBar" priority="712" id="{004000B8-000E-446A-A150-00E600AE00C8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U160</xm:sqref>
        </x14:conditionalFormatting>
        <x14:conditionalFormatting xmlns:xm="http://schemas.microsoft.com/office/excel/2006/main">
          <x14:cfRule type="dataBar" priority="711" id="{00F7001B-0000-465D-913E-00BB00B700EB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U160</xm:sqref>
        </x14:conditionalFormatting>
        <x14:conditionalFormatting xmlns:xm="http://schemas.microsoft.com/office/excel/2006/main">
          <x14:cfRule type="dataBar" priority="710" id="{008400D2-00D8-4DBC-B76C-00C2001600B1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U159</xm:sqref>
        </x14:conditionalFormatting>
        <x14:conditionalFormatting xmlns:xm="http://schemas.microsoft.com/office/excel/2006/main">
          <x14:cfRule type="dataBar" priority="709" id="{00710071-00CF-40A9-BE7F-00320087006B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U159</xm:sqref>
        </x14:conditionalFormatting>
        <x14:conditionalFormatting xmlns:xm="http://schemas.microsoft.com/office/excel/2006/main">
          <x14:cfRule type="dataBar" priority="708" id="{00500029-0062-4165-B816-00AA0057007E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U159</xm:sqref>
        </x14:conditionalFormatting>
        <x14:conditionalFormatting xmlns:xm="http://schemas.microsoft.com/office/excel/2006/main">
          <x14:cfRule type="dataBar" priority="701" id="{0096006E-00C3-4CE4-818B-00A800E40019}">
            <x14:dataBar maxLength="90" minLength="10" axisPosition="automatic" direction="context">
              <x14:cfvo type="min"/>
              <x14:cfvo type="max"/>
              <x14:fillColor rgb="FF63C384"/>
            </x14:dataBar>
          </x14:cfRule>
          <xm:sqref>N148:N149</xm:sqref>
        </x14:conditionalFormatting>
        <x14:conditionalFormatting xmlns:xm="http://schemas.microsoft.com/office/excel/2006/main">
          <x14:cfRule type="dataBar" priority="699" id="{0074001A-00A3-4008-A818-00D1003000DA}">
            <x14:dataBar maxLength="90" minLength="10" axisPosition="automatic" direction="context">
              <x14:cfvo type="min"/>
              <x14:cfvo type="max"/>
              <x14:fillColor rgb="FFFF555A"/>
            </x14:dataBar>
          </x14:cfRule>
          <xm:sqref>F148:F149</xm:sqref>
        </x14:conditionalFormatting>
        <x14:conditionalFormatting xmlns:xm="http://schemas.microsoft.com/office/excel/2006/main">
          <x14:cfRule type="dataBar" priority="697" id="{009A0045-00C2-431C-AABA-0051004D002A}">
            <x14:dataBar maxLength="90" minLength="10" axisPosition="automatic" direction="context">
              <x14:cfvo type="num">
                <xm:f>0</xm:f>
              </x14:cfvo>
              <x14:cfvo type="max"/>
              <x14:fillColor rgb="FF638EC6"/>
            </x14:dataBar>
          </x14:cfRule>
          <xm:sqref>F148:F149</xm:sqref>
        </x14:conditionalFormatting>
        <x14:conditionalFormatting xmlns:xm="http://schemas.microsoft.com/office/excel/2006/main">
          <x14:cfRule type="dataBar" priority="696" id="{006B00CF-00AC-4552-9E9A-008300EF0019}">
            <x14:dataBar maxLength="90" minLength="10" axisPosition="automatic" direction="context">
              <x14:cfvo type="num">
                <xm:f>0</xm:f>
              </x14:cfvo>
              <x14:cfvo type="max"/>
              <x14:fillColor rgb="FFFF1515"/>
            </x14:dataBar>
          </x14:cfRule>
          <xm:sqref>F148:F149</xm:sqref>
        </x14:conditionalFormatting>
        <x14:conditionalFormatting xmlns:xm="http://schemas.microsoft.com/office/excel/2006/main">
          <x14:cfRule type="dataBar" priority="694" id="{0014000A-0050-4E3A-AE40-00E200770090}">
            <x14:dataBar maxLength="90" minLength="10" axisPosition="automatic" direction="context">
              <x14:cfvo type="num">
                <xm:f>0</xm:f>
              </x14:cfvo>
              <x14:cfvo type="max"/>
              <x14:fillColor rgb="FFFF555A"/>
            </x14:dataBar>
          </x14:cfRule>
          <xm:sqref>F148:F149</xm:sqref>
        </x14:conditionalFormatting>
        <x14:conditionalFormatting xmlns:xm="http://schemas.microsoft.com/office/excel/2006/main">
          <x14:cfRule type="dataBar" priority="690" id="{00A900FD-00C5-4A7F-A5BE-00AB00DB0080}">
            <x14:dataBar maxLength="90" minLength="10" axisPosition="automatic" direction="context">
              <x14:cfvo type="num">
                <xm:f>0</xm:f>
              </x14:cfvo>
              <x14:cfvo type="max"/>
              <x14:fillColor rgb="FF638EC6"/>
            </x14:dataBar>
          </x14:cfRule>
          <xm:sqref>N148:N149</xm:sqref>
        </x14:conditionalFormatting>
        <x14:conditionalFormatting xmlns:xm="http://schemas.microsoft.com/office/excel/2006/main">
          <x14:cfRule type="dataBar" priority="637" id="{002A00C9-00C3-4111-8C26-007D004E0012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N148:N149</xm:sqref>
        </x14:conditionalFormatting>
        <x14:conditionalFormatting xmlns:xm="http://schemas.microsoft.com/office/excel/2006/main">
          <x14:cfRule type="dataBar" priority="636" id="{00880070-0078-4BF8-9C17-00A9004C00B2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T148:T149</xm:sqref>
        </x14:conditionalFormatting>
        <x14:conditionalFormatting xmlns:xm="http://schemas.microsoft.com/office/excel/2006/main">
          <x14:cfRule type="dataBar" priority="635" id="{0022003E-0007-47A2-858B-00FD005200EF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U148:U149</xm:sqref>
        </x14:conditionalFormatting>
        <x14:conditionalFormatting xmlns:xm="http://schemas.microsoft.com/office/excel/2006/main">
          <x14:cfRule type="dataBar" priority="634" id="{00C1000B-00A8-45AE-AAED-00AB00E900E3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U148:U149</xm:sqref>
        </x14:conditionalFormatting>
        <x14:conditionalFormatting xmlns:xm="http://schemas.microsoft.com/office/excel/2006/main">
          <x14:cfRule type="dataBar" priority="632" id="{00FE0032-00B9-4F4C-9772-00F0008900F7}">
            <x14:dataBar maxLength="90" minLength="10" axisPosition="automatic" direction="context">
              <x14:cfvo type="min"/>
              <x14:cfvo type="max"/>
              <x14:fillColor rgb="FFFF555A"/>
            </x14:dataBar>
          </x14:cfRule>
          <xm:sqref>F148:F149</xm:sqref>
        </x14:conditionalFormatting>
        <x14:conditionalFormatting xmlns:xm="http://schemas.microsoft.com/office/excel/2006/main">
          <x14:cfRule type="dataBar" priority="631" id="{00420087-0073-4453-AFE8-000300DB0006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S150 S157</xm:sqref>
        </x14:conditionalFormatting>
        <x14:conditionalFormatting xmlns:xm="http://schemas.microsoft.com/office/excel/2006/main">
          <x14:cfRule type="dataBar" priority="630" id="{006E0089-00AA-428B-92E2-006C008400C5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F150 F157</xm:sqref>
        </x14:conditionalFormatting>
        <x14:conditionalFormatting xmlns:xm="http://schemas.microsoft.com/office/excel/2006/main">
          <x14:cfRule type="dataBar" priority="629" id="{00D40002-00DC-4DDD-99A3-00D000350093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N150 N157</xm:sqref>
        </x14:conditionalFormatting>
        <x14:conditionalFormatting xmlns:xm="http://schemas.microsoft.com/office/excel/2006/main">
          <x14:cfRule type="dataBar" priority="610" id="{00B200AF-000F-40AC-B447-00DC00F20065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S164:S167</xm:sqref>
        </x14:conditionalFormatting>
        <x14:conditionalFormatting xmlns:xm="http://schemas.microsoft.com/office/excel/2006/main">
          <x14:cfRule type="dataBar" priority="609" id="{00EA0080-0037-4A25-A73E-00B000B200EA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F164:F167</xm:sqref>
        </x14:conditionalFormatting>
        <x14:conditionalFormatting xmlns:xm="http://schemas.microsoft.com/office/excel/2006/main">
          <x14:cfRule type="dataBar" priority="608" id="{002900B5-00DB-4E96-A0B6-005100EC00BB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N164:N167</xm:sqref>
        </x14:conditionalFormatting>
        <x14:conditionalFormatting xmlns:xm="http://schemas.microsoft.com/office/excel/2006/main">
          <x14:cfRule type="dataBar" priority="607" id="{00C700C2-006D-4662-8FD3-006B00860010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F163:F167</xm:sqref>
        </x14:conditionalFormatting>
        <x14:conditionalFormatting xmlns:xm="http://schemas.microsoft.com/office/excel/2006/main">
          <x14:cfRule type="dataBar" priority="606" id="{009800BE-0027-41AD-B460-0078009E0060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F165</xm:sqref>
        </x14:conditionalFormatting>
        <x14:conditionalFormatting xmlns:xm="http://schemas.microsoft.com/office/excel/2006/main">
          <x14:cfRule type="dataBar" priority="605" id="{006100EA-0056-45A6-BC98-00D6006E00DA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U158</xm:sqref>
        </x14:conditionalFormatting>
        <x14:conditionalFormatting xmlns:xm="http://schemas.microsoft.com/office/excel/2006/main">
          <x14:cfRule type="dataBar" priority="604" id="{00260003-005E-4D16-A6D8-00A8003B0043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U158</xm:sqref>
        </x14:conditionalFormatting>
        <x14:conditionalFormatting xmlns:xm="http://schemas.microsoft.com/office/excel/2006/main">
          <x14:cfRule type="dataBar" priority="603" id="{003B000D-00D6-4ADB-8D08-0014006E00E4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U158</xm:sqref>
        </x14:conditionalFormatting>
        <x14:conditionalFormatting xmlns:xm="http://schemas.microsoft.com/office/excel/2006/main">
          <x14:cfRule type="dataBar" priority="602" id="{008600BA-0005-41AC-8BAA-004700850074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S151</xm:sqref>
        </x14:conditionalFormatting>
        <x14:conditionalFormatting xmlns:xm="http://schemas.microsoft.com/office/excel/2006/main">
          <x14:cfRule type="dataBar" priority="601" id="{0029007B-0070-48E6-B599-008600900074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F151</xm:sqref>
        </x14:conditionalFormatting>
        <x14:conditionalFormatting xmlns:xm="http://schemas.microsoft.com/office/excel/2006/main">
          <x14:cfRule type="dataBar" priority="600" id="{006600E8-0006-4282-B035-0003002400AB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N151</xm:sqref>
        </x14:conditionalFormatting>
        <x14:conditionalFormatting xmlns:xm="http://schemas.microsoft.com/office/excel/2006/main">
          <x14:cfRule type="dataBar" priority="599" id="{0047008B-00B9-4FD2-922A-00AC00FC0074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F151</xm:sqref>
        </x14:conditionalFormatting>
        <x14:conditionalFormatting xmlns:xm="http://schemas.microsoft.com/office/excel/2006/main">
          <x14:cfRule type="dataBar" priority="598" id="{004C0071-0023-44D8-B4E7-006900D2003E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N151</xm:sqref>
        </x14:conditionalFormatting>
        <x14:conditionalFormatting xmlns:xm="http://schemas.microsoft.com/office/excel/2006/main">
          <x14:cfRule type="dataBar" priority="597" id="{001200C3-00E1-4467-AB75-006600F700B3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S151</xm:sqref>
        </x14:conditionalFormatting>
        <x14:conditionalFormatting xmlns:xm="http://schemas.microsoft.com/office/excel/2006/main">
          <x14:cfRule type="dataBar" priority="596" id="{004000ED-00BD-43CC-90C9-00D400C60005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S151</xm:sqref>
        </x14:conditionalFormatting>
        <x14:conditionalFormatting xmlns:xm="http://schemas.microsoft.com/office/excel/2006/main">
          <x14:cfRule type="dataBar" priority="595" id="{009000D3-001A-4B52-9B9A-008F009900B9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F151</xm:sqref>
        </x14:conditionalFormatting>
        <x14:conditionalFormatting xmlns:xm="http://schemas.microsoft.com/office/excel/2006/main">
          <x14:cfRule type="dataBar" priority="594" id="{00120011-00EC-4C5F-A584-007B003C00ED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N151</xm:sqref>
        </x14:conditionalFormatting>
        <x14:conditionalFormatting xmlns:xm="http://schemas.microsoft.com/office/excel/2006/main">
          <x14:cfRule type="dataBar" priority="593" id="{005E005C-006E-4D58-B321-00AB007700E3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S151</xm:sqref>
        </x14:conditionalFormatting>
        <x14:conditionalFormatting xmlns:xm="http://schemas.microsoft.com/office/excel/2006/main">
          <x14:cfRule type="dataBar" priority="592" id="{00A70040-00D3-4EEE-BC8D-00E500310034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S151</xm:sqref>
        </x14:conditionalFormatting>
        <x14:conditionalFormatting xmlns:xm="http://schemas.microsoft.com/office/excel/2006/main">
          <x14:cfRule type="dataBar" priority="591" id="{00D7004F-0006-41EA-80B0-003300D0006C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S151</xm:sqref>
        </x14:conditionalFormatting>
        <x14:conditionalFormatting xmlns:xm="http://schemas.microsoft.com/office/excel/2006/main">
          <x14:cfRule type="dataBar" priority="590" id="{009900B3-00AD-49B6-8C17-009C00CA0042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S151</xm:sqref>
        </x14:conditionalFormatting>
        <x14:conditionalFormatting xmlns:xm="http://schemas.microsoft.com/office/excel/2006/main">
          <x14:cfRule type="dataBar" priority="589" id="{000200DB-0040-40CD-B59F-00E3005F0024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S151</xm:sqref>
        </x14:conditionalFormatting>
        <x14:conditionalFormatting xmlns:xm="http://schemas.microsoft.com/office/excel/2006/main">
          <x14:cfRule type="dataBar" priority="588" id="{00000006-0043-4F93-8D59-000200C00071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S151</xm:sqref>
        </x14:conditionalFormatting>
        <x14:conditionalFormatting xmlns:xm="http://schemas.microsoft.com/office/excel/2006/main">
          <x14:cfRule type="dataBar" priority="587" id="{008300D5-000E-4640-A285-00BF003A0013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S151</xm:sqref>
        </x14:conditionalFormatting>
        <x14:conditionalFormatting xmlns:xm="http://schemas.microsoft.com/office/excel/2006/main">
          <x14:cfRule type="dataBar" priority="586" id="{00430029-00D8-421F-B83C-0024007100D9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S151</xm:sqref>
        </x14:conditionalFormatting>
        <x14:conditionalFormatting xmlns:xm="http://schemas.microsoft.com/office/excel/2006/main">
          <x14:cfRule type="dataBar" priority="585" id="{00BD0006-009B-4C4C-898C-00C0000C0037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S151</xm:sqref>
        </x14:conditionalFormatting>
        <x14:conditionalFormatting xmlns:xm="http://schemas.microsoft.com/office/excel/2006/main">
          <x14:cfRule type="dataBar" priority="584" id="{005F00EF-0023-4A4C-A916-001C0009005C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S151</xm:sqref>
        </x14:conditionalFormatting>
        <x14:conditionalFormatting xmlns:xm="http://schemas.microsoft.com/office/excel/2006/main">
          <x14:cfRule type="dataBar" priority="583" id="{00960020-0031-48BD-AC70-005C00AE005D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T151</xm:sqref>
        </x14:conditionalFormatting>
        <x14:conditionalFormatting xmlns:xm="http://schemas.microsoft.com/office/excel/2006/main">
          <x14:cfRule type="dataBar" priority="582" id="{00540005-004E-421D-A2C6-0025004500A3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T151</xm:sqref>
        </x14:conditionalFormatting>
        <x14:conditionalFormatting xmlns:xm="http://schemas.microsoft.com/office/excel/2006/main">
          <x14:cfRule type="dataBar" priority="581" id="{00BD0065-005F-4761-9F16-005800C6005B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T151</xm:sqref>
        </x14:conditionalFormatting>
        <x14:conditionalFormatting xmlns:xm="http://schemas.microsoft.com/office/excel/2006/main">
          <x14:cfRule type="dataBar" priority="580" id="{00010013-009C-4FA4-AFBF-00AD00810068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U151</xm:sqref>
        </x14:conditionalFormatting>
        <x14:conditionalFormatting xmlns:xm="http://schemas.microsoft.com/office/excel/2006/main">
          <x14:cfRule type="dataBar" priority="579" id="{0044009E-00BF-4CA1-BF21-009F006F004B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U151</xm:sqref>
        </x14:conditionalFormatting>
        <x14:conditionalFormatting xmlns:xm="http://schemas.microsoft.com/office/excel/2006/main">
          <x14:cfRule type="dataBar" priority="578" id="{006D0075-000B-4412-8BD5-000600C30004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U151</xm:sqref>
        </x14:conditionalFormatting>
        <x14:conditionalFormatting xmlns:xm="http://schemas.microsoft.com/office/excel/2006/main">
          <x14:cfRule type="dataBar" priority="571" id="{009500F0-0079-432D-940D-001400CE00D1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S151</xm:sqref>
        </x14:conditionalFormatting>
        <x14:conditionalFormatting xmlns:xm="http://schemas.microsoft.com/office/excel/2006/main">
          <x14:cfRule type="dataBar" priority="570" id="{008500A1-005C-483A-834D-0049009D00FB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S151</xm:sqref>
        </x14:conditionalFormatting>
        <x14:conditionalFormatting xmlns:xm="http://schemas.microsoft.com/office/excel/2006/main">
          <x14:cfRule type="dataBar" priority="569" id="{000400B0-002B-4DFF-8E9D-008D004000CB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S151</xm:sqref>
        </x14:conditionalFormatting>
        <x14:conditionalFormatting xmlns:xm="http://schemas.microsoft.com/office/excel/2006/main">
          <x14:cfRule type="dataBar" priority="568" id="{0093006D-009B-4DC2-975B-002500B600EE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S151</xm:sqref>
        </x14:conditionalFormatting>
        <x14:conditionalFormatting xmlns:xm="http://schemas.microsoft.com/office/excel/2006/main">
          <x14:cfRule type="dataBar" priority="567" id="{00F6002B-00B7-4DFB-BDD9-00C600820069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S151</xm:sqref>
        </x14:conditionalFormatting>
        <x14:conditionalFormatting xmlns:xm="http://schemas.microsoft.com/office/excel/2006/main">
          <x14:cfRule type="dataBar" priority="566" id="{009B0013-0037-41D0-B836-009600740054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S151</xm:sqref>
        </x14:conditionalFormatting>
        <x14:conditionalFormatting xmlns:xm="http://schemas.microsoft.com/office/excel/2006/main">
          <x14:cfRule type="dataBar" priority="565" id="{00BA007A-00B8-49CB-862D-000800A00077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S151</xm:sqref>
        </x14:conditionalFormatting>
        <x14:conditionalFormatting xmlns:xm="http://schemas.microsoft.com/office/excel/2006/main">
          <x14:cfRule type="dataBar" priority="564" id="{00A400C4-0028-4D3B-B860-00BA00A0006F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S151</xm:sqref>
        </x14:conditionalFormatting>
        <x14:conditionalFormatting xmlns:xm="http://schemas.microsoft.com/office/excel/2006/main">
          <x14:cfRule type="dataBar" priority="563" id="{0096009C-0065-4242-A3FC-003A008B00AA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S151</xm:sqref>
        </x14:conditionalFormatting>
        <x14:conditionalFormatting xmlns:xm="http://schemas.microsoft.com/office/excel/2006/main">
          <x14:cfRule type="dataBar" priority="562" id="{00E00044-0038-4469-9CE1-0025003200D9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S151</xm:sqref>
        </x14:conditionalFormatting>
        <x14:conditionalFormatting xmlns:xm="http://schemas.microsoft.com/office/excel/2006/main">
          <x14:cfRule type="dataBar" priority="561" id="{0074005E-00D1-4F05-8B79-0056004C00D9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S151</xm:sqref>
        </x14:conditionalFormatting>
        <x14:conditionalFormatting xmlns:xm="http://schemas.microsoft.com/office/excel/2006/main">
          <x14:cfRule type="dataBar" priority="560" id="{00EB0050-0069-4241-AC77-00A500190071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S151</xm:sqref>
        </x14:conditionalFormatting>
        <x14:conditionalFormatting xmlns:xm="http://schemas.microsoft.com/office/excel/2006/main">
          <x14:cfRule type="dataBar" priority="559" id="{00C800CD-002C-4CEF-908D-0090008A00F4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S151</xm:sqref>
        </x14:conditionalFormatting>
        <x14:conditionalFormatting xmlns:xm="http://schemas.microsoft.com/office/excel/2006/main">
          <x14:cfRule type="dataBar" priority="558" id="{000300A7-00B5-452A-88DE-007100F2005E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S158</xm:sqref>
        </x14:conditionalFormatting>
        <x14:conditionalFormatting xmlns:xm="http://schemas.microsoft.com/office/excel/2006/main">
          <x14:cfRule type="dataBar" priority="557" id="{0040007B-0006-4ECF-8AC4-00A800FE0002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F158</xm:sqref>
        </x14:conditionalFormatting>
        <x14:conditionalFormatting xmlns:xm="http://schemas.microsoft.com/office/excel/2006/main">
          <x14:cfRule type="dataBar" priority="556" id="{007E004B-003C-4C89-933C-00EC0020001F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N158</xm:sqref>
        </x14:conditionalFormatting>
        <x14:conditionalFormatting xmlns:xm="http://schemas.microsoft.com/office/excel/2006/main">
          <x14:cfRule type="dataBar" priority="555" id="{0067007D-0081-4608-9FA3-00B400DC00C6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S158:S160</xm:sqref>
        </x14:conditionalFormatting>
        <x14:conditionalFormatting xmlns:xm="http://schemas.microsoft.com/office/excel/2006/main">
          <x14:cfRule type="dataBar" priority="554" id="{00A500A1-00D6-4BA3-83B5-002E00EE0073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F158:F160</xm:sqref>
        </x14:conditionalFormatting>
        <x14:conditionalFormatting xmlns:xm="http://schemas.microsoft.com/office/excel/2006/main">
          <x14:cfRule type="dataBar" priority="553" id="{006F00E3-0027-4350-A9B6-00AC004900D4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N158:N160</xm:sqref>
        </x14:conditionalFormatting>
        <x14:conditionalFormatting xmlns:xm="http://schemas.microsoft.com/office/excel/2006/main">
          <x14:cfRule type="dataBar" priority="552" id="{00D1004F-001B-410B-875E-00D000CF0047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S158:S161</xm:sqref>
        </x14:conditionalFormatting>
        <x14:conditionalFormatting xmlns:xm="http://schemas.microsoft.com/office/excel/2006/main">
          <x14:cfRule type="dataBar" priority="551" id="{00F80067-0003-4A85-AC81-0086000300F7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F158:F161</xm:sqref>
        </x14:conditionalFormatting>
        <x14:conditionalFormatting xmlns:xm="http://schemas.microsoft.com/office/excel/2006/main">
          <x14:cfRule type="dataBar" priority="550" id="{003F003A-0038-496B-B241-0096009500F1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N158:N161</xm:sqref>
        </x14:conditionalFormatting>
        <x14:conditionalFormatting xmlns:xm="http://schemas.microsoft.com/office/excel/2006/main">
          <x14:cfRule type="dataBar" priority="549" id="{00550041-00C5-4D0E-8B4E-00E200E60081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F163</xm:sqref>
        </x14:conditionalFormatting>
        <x14:conditionalFormatting xmlns:xm="http://schemas.microsoft.com/office/excel/2006/main">
          <x14:cfRule type="dataBar" priority="548" id="{00240070-0075-492C-B968-002600110094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F163:F165</xm:sqref>
        </x14:conditionalFormatting>
        <x14:conditionalFormatting xmlns:xm="http://schemas.microsoft.com/office/excel/2006/main">
          <x14:cfRule type="dataBar" priority="547" id="{00EA00F6-008B-4AF9-B1A7-002400F60079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F163:F167</xm:sqref>
        </x14:conditionalFormatting>
        <x14:conditionalFormatting xmlns:xm="http://schemas.microsoft.com/office/excel/2006/main">
          <x14:cfRule type="dataBar" priority="546" id="{004600CB-00B9-4DC5-A047-007F008D0020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T159</xm:sqref>
        </x14:conditionalFormatting>
        <x14:conditionalFormatting xmlns:xm="http://schemas.microsoft.com/office/excel/2006/main">
          <x14:cfRule type="dataBar" priority="545" id="{00080003-0059-4773-B84E-001800AE009F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T159</xm:sqref>
        </x14:conditionalFormatting>
        <x14:conditionalFormatting xmlns:xm="http://schemas.microsoft.com/office/excel/2006/main">
          <x14:cfRule type="dataBar" priority="544" id="{001800BA-0018-439F-9D98-00A70029006A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T159</xm:sqref>
        </x14:conditionalFormatting>
        <x14:conditionalFormatting xmlns:xm="http://schemas.microsoft.com/office/excel/2006/main">
          <x14:cfRule type="dataBar" priority="543" id="{008A00F2-000C-4F69-8482-001600DE000E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T158</xm:sqref>
        </x14:conditionalFormatting>
        <x14:conditionalFormatting xmlns:xm="http://schemas.microsoft.com/office/excel/2006/main">
          <x14:cfRule type="dataBar" priority="542" id="{00CA00A5-00E1-4B2A-872C-001600710099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T158</xm:sqref>
        </x14:conditionalFormatting>
        <x14:conditionalFormatting xmlns:xm="http://schemas.microsoft.com/office/excel/2006/main">
          <x14:cfRule type="dataBar" priority="541" id="{0080000B-007A-4E16-A372-007700BD008F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T158</xm:sqref>
        </x14:conditionalFormatting>
        <x14:conditionalFormatting xmlns:xm="http://schemas.microsoft.com/office/excel/2006/main">
          <x14:cfRule type="dataBar" priority="540" id="{00D9005B-00D1-44CA-AB7F-001600B200A4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T163</xm:sqref>
        </x14:conditionalFormatting>
        <x14:conditionalFormatting xmlns:xm="http://schemas.microsoft.com/office/excel/2006/main">
          <x14:cfRule type="dataBar" priority="539" id="{001700A3-00D3-427D-9155-00E1007100AF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T163</xm:sqref>
        </x14:conditionalFormatting>
        <x14:conditionalFormatting xmlns:xm="http://schemas.microsoft.com/office/excel/2006/main">
          <x14:cfRule type="dataBar" priority="538" id="{002A0039-001A-409A-8CDC-007500B90045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T163</xm:sqref>
        </x14:conditionalFormatting>
        <x14:conditionalFormatting xmlns:xm="http://schemas.microsoft.com/office/excel/2006/main">
          <x14:cfRule type="dataBar" priority="537" id="{00CF006D-0038-422B-B86D-002D00B100D7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T162</xm:sqref>
        </x14:conditionalFormatting>
        <x14:conditionalFormatting xmlns:xm="http://schemas.microsoft.com/office/excel/2006/main">
          <x14:cfRule type="dataBar" priority="536" id="{0004008E-006D-4E55-BD19-0012008400EA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T162</xm:sqref>
        </x14:conditionalFormatting>
        <x14:conditionalFormatting xmlns:xm="http://schemas.microsoft.com/office/excel/2006/main">
          <x14:cfRule type="dataBar" priority="535" id="{00870073-00C0-4542-B697-001D006F00DE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T162</xm:sqref>
        </x14:conditionalFormatting>
        <x14:conditionalFormatting xmlns:xm="http://schemas.microsoft.com/office/excel/2006/main">
          <x14:cfRule type="dataBar" priority="534" id="{00DA003E-0030-4A03-BC1D-00F700E80079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U159</xm:sqref>
        </x14:conditionalFormatting>
        <x14:conditionalFormatting xmlns:xm="http://schemas.microsoft.com/office/excel/2006/main">
          <x14:cfRule type="dataBar" priority="533" id="{008D00DC-0035-4BA3-8F08-00C8006B00E1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U159</xm:sqref>
        </x14:conditionalFormatting>
        <x14:conditionalFormatting xmlns:xm="http://schemas.microsoft.com/office/excel/2006/main">
          <x14:cfRule type="dataBar" priority="532" id="{003B0013-00D0-455C-A4F1-004200EF00B9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U159</xm:sqref>
        </x14:conditionalFormatting>
        <x14:conditionalFormatting xmlns:xm="http://schemas.microsoft.com/office/excel/2006/main">
          <x14:cfRule type="dataBar" priority="531" id="{006A0009-000A-42F1-B1B7-00970030003F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U158</xm:sqref>
        </x14:conditionalFormatting>
        <x14:conditionalFormatting xmlns:xm="http://schemas.microsoft.com/office/excel/2006/main">
          <x14:cfRule type="dataBar" priority="530" id="{001200D0-00BC-4E31-B598-007E000000F2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U158</xm:sqref>
        </x14:conditionalFormatting>
        <x14:conditionalFormatting xmlns:xm="http://schemas.microsoft.com/office/excel/2006/main">
          <x14:cfRule type="dataBar" priority="529" id="{00870058-00FC-43CD-A342-001F00980027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U163</xm:sqref>
        </x14:conditionalFormatting>
        <x14:conditionalFormatting xmlns:xm="http://schemas.microsoft.com/office/excel/2006/main">
          <x14:cfRule type="dataBar" priority="528" id="{00AA0082-00A8-496B-9715-0095009A00EB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U163</xm:sqref>
        </x14:conditionalFormatting>
        <x14:conditionalFormatting xmlns:xm="http://schemas.microsoft.com/office/excel/2006/main">
          <x14:cfRule type="dataBar" priority="527" id="{00160034-0036-4523-8E60-002C001900D9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U163</xm:sqref>
        </x14:conditionalFormatting>
        <x14:conditionalFormatting xmlns:xm="http://schemas.microsoft.com/office/excel/2006/main">
          <x14:cfRule type="dataBar" priority="526" id="{0097007A-00DB-4C6F-BFFD-000B00B30036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U162</xm:sqref>
        </x14:conditionalFormatting>
        <x14:conditionalFormatting xmlns:xm="http://schemas.microsoft.com/office/excel/2006/main">
          <x14:cfRule type="dataBar" priority="525" id="{008000C8-00B9-4295-BDC9-006100990073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U162</xm:sqref>
        </x14:conditionalFormatting>
        <x14:conditionalFormatting xmlns:xm="http://schemas.microsoft.com/office/excel/2006/main">
          <x14:cfRule type="dataBar" priority="524" id="{00DF0069-004A-4406-AF2D-00C8005D0054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U162</xm:sqref>
        </x14:conditionalFormatting>
        <x14:conditionalFormatting xmlns:xm="http://schemas.microsoft.com/office/excel/2006/main">
          <x14:cfRule type="dataBar" priority="523" id="{0002009D-00DD-4FCC-B316-00A900960064}">
            <x14:dataBar maxLength="90" minLength="10" axisPosition="automatic" direction="context">
              <x14:cfvo type="min"/>
              <x14:cfvo type="max"/>
              <x14:fillColor rgb="FF63C384"/>
            </x14:dataBar>
          </x14:cfRule>
          <xm:sqref>N150:N151</xm:sqref>
        </x14:conditionalFormatting>
        <x14:conditionalFormatting xmlns:xm="http://schemas.microsoft.com/office/excel/2006/main">
          <x14:cfRule type="dataBar" priority="522" id="{00F80097-00E4-4184-8E5B-006A00A90090}">
            <x14:dataBar maxLength="90" minLength="10" axisPosition="automatic" direction="context">
              <x14:cfvo type="num">
                <xm:f>0</xm:f>
              </x14:cfvo>
              <x14:cfvo type="max"/>
              <x14:fillColor rgb="FF638EC6"/>
            </x14:dataBar>
          </x14:cfRule>
          <xm:sqref>N150:N151</xm:sqref>
        </x14:conditionalFormatting>
        <x14:conditionalFormatting xmlns:xm="http://schemas.microsoft.com/office/excel/2006/main">
          <x14:cfRule type="dataBar" priority="521" id="{00060093-0001-4FB2-93B9-003900F8007D}">
            <x14:dataBar maxLength="90" minLength="10" axisPosition="automatic" direction="context">
              <x14:cfvo type="min"/>
              <x14:cfvo type="max"/>
              <x14:fillColor rgb="FFFF555A"/>
            </x14:dataBar>
          </x14:cfRule>
          <xm:sqref>F150:F151</xm:sqref>
        </x14:conditionalFormatting>
        <x14:conditionalFormatting xmlns:xm="http://schemas.microsoft.com/office/excel/2006/main">
          <x14:cfRule type="dataBar" priority="520" id="{000A0043-002E-4FA6-BB1D-00C5005B005E}">
            <x14:dataBar maxLength="90" minLength="10" axisPosition="automatic" direction="context">
              <x14:cfvo type="num">
                <xm:f>0</xm:f>
              </x14:cfvo>
              <x14:cfvo type="max"/>
              <x14:fillColor rgb="FF638EC6"/>
            </x14:dataBar>
          </x14:cfRule>
          <xm:sqref>F150:F151</xm:sqref>
        </x14:conditionalFormatting>
        <x14:conditionalFormatting xmlns:xm="http://schemas.microsoft.com/office/excel/2006/main">
          <x14:cfRule type="dataBar" priority="519" id="{005A0093-002F-4BCA-9700-009100EC00C4}">
            <x14:dataBar maxLength="90" minLength="10" axisPosition="automatic" direction="context">
              <x14:cfvo type="num">
                <xm:f>0</xm:f>
              </x14:cfvo>
              <x14:cfvo type="max"/>
              <x14:fillColor rgb="FFFF1515"/>
            </x14:dataBar>
          </x14:cfRule>
          <xm:sqref>F150:F151</xm:sqref>
        </x14:conditionalFormatting>
        <x14:conditionalFormatting xmlns:xm="http://schemas.microsoft.com/office/excel/2006/main">
          <x14:cfRule type="dataBar" priority="518" id="{005E0054-00F1-49E1-B2A9-005A00FD00D8}">
            <x14:dataBar maxLength="90" minLength="10" axisPosition="automatic" direction="context">
              <x14:cfvo type="num">
                <xm:f>0</xm:f>
              </x14:cfvo>
              <x14:cfvo type="max"/>
              <x14:fillColor rgb="FFFF555A"/>
            </x14:dataBar>
          </x14:cfRule>
          <xm:sqref>F150:F151</xm:sqref>
        </x14:conditionalFormatting>
        <x14:conditionalFormatting xmlns:xm="http://schemas.microsoft.com/office/excel/2006/main">
          <x14:cfRule type="dataBar" priority="517" id="{00ED00A2-0005-428E-A2AA-0071008D00EA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S152</xm:sqref>
        </x14:conditionalFormatting>
        <x14:conditionalFormatting xmlns:xm="http://schemas.microsoft.com/office/excel/2006/main">
          <x14:cfRule type="dataBar" priority="516" id="{005A0010-0095-4095-8B1A-005100670060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F152</xm:sqref>
        </x14:conditionalFormatting>
        <x14:conditionalFormatting xmlns:xm="http://schemas.microsoft.com/office/excel/2006/main">
          <x14:cfRule type="dataBar" priority="515" id="{00A900A6-007D-49D1-BFFD-00EA00A20081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N152</xm:sqref>
        </x14:conditionalFormatting>
        <x14:conditionalFormatting xmlns:xm="http://schemas.microsoft.com/office/excel/2006/main">
          <x14:cfRule type="dataBar" priority="514" id="{00DC00BA-005A-4AF2-8CF1-00050000007A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F152</xm:sqref>
        </x14:conditionalFormatting>
        <x14:conditionalFormatting xmlns:xm="http://schemas.microsoft.com/office/excel/2006/main">
          <x14:cfRule type="dataBar" priority="513" id="{00910063-001A-4530-BF9E-0078002B00E7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N152</xm:sqref>
        </x14:conditionalFormatting>
        <x14:conditionalFormatting xmlns:xm="http://schemas.microsoft.com/office/excel/2006/main">
          <x14:cfRule type="dataBar" priority="512" id="{00CB0070-00A8-4549-B8BF-009700B40081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S152</xm:sqref>
        </x14:conditionalFormatting>
        <x14:conditionalFormatting xmlns:xm="http://schemas.microsoft.com/office/excel/2006/main">
          <x14:cfRule type="dataBar" priority="511" id="{005300C4-00BC-4DD8-A694-0016005B004A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S152</xm:sqref>
        </x14:conditionalFormatting>
        <x14:conditionalFormatting xmlns:xm="http://schemas.microsoft.com/office/excel/2006/main">
          <x14:cfRule type="dataBar" priority="510" id="{000B008B-0068-4623-8EDF-00AE00C900BD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F152</xm:sqref>
        </x14:conditionalFormatting>
        <x14:conditionalFormatting xmlns:xm="http://schemas.microsoft.com/office/excel/2006/main">
          <x14:cfRule type="dataBar" priority="509" id="{009E0055-00E4-4C1D-9122-008100030094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N152</xm:sqref>
        </x14:conditionalFormatting>
        <x14:conditionalFormatting xmlns:xm="http://schemas.microsoft.com/office/excel/2006/main">
          <x14:cfRule type="dataBar" priority="508" id="{00DF00AD-0025-4995-A1F7-00B400ED0098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S152</xm:sqref>
        </x14:conditionalFormatting>
        <x14:conditionalFormatting xmlns:xm="http://schemas.microsoft.com/office/excel/2006/main">
          <x14:cfRule type="dataBar" priority="507" id="{003D00AB-00BE-4180-A33E-00FA00C30080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S152</xm:sqref>
        </x14:conditionalFormatting>
        <x14:conditionalFormatting xmlns:xm="http://schemas.microsoft.com/office/excel/2006/main">
          <x14:cfRule type="dataBar" priority="506" id="{005600B6-0077-4FC2-832C-00EC005A0087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S152</xm:sqref>
        </x14:conditionalFormatting>
        <x14:conditionalFormatting xmlns:xm="http://schemas.microsoft.com/office/excel/2006/main">
          <x14:cfRule type="dataBar" priority="505" id="{00B30035-0070-401B-B43C-001B0037007A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S152</xm:sqref>
        </x14:conditionalFormatting>
        <x14:conditionalFormatting xmlns:xm="http://schemas.microsoft.com/office/excel/2006/main">
          <x14:cfRule type="dataBar" priority="504" id="{008E00D1-0042-490E-A1AB-009500E9005D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S152</xm:sqref>
        </x14:conditionalFormatting>
        <x14:conditionalFormatting xmlns:xm="http://schemas.microsoft.com/office/excel/2006/main">
          <x14:cfRule type="dataBar" priority="503" id="{001100C3-0092-4989-B9CB-00E700CB0006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S152</xm:sqref>
        </x14:conditionalFormatting>
        <x14:conditionalFormatting xmlns:xm="http://schemas.microsoft.com/office/excel/2006/main">
          <x14:cfRule type="dataBar" priority="502" id="{00A00005-0072-4F26-AB3C-00BC00AF00EC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S152</xm:sqref>
        </x14:conditionalFormatting>
        <x14:conditionalFormatting xmlns:xm="http://schemas.microsoft.com/office/excel/2006/main">
          <x14:cfRule type="dataBar" priority="501" id="{00EE0077-006C-4F91-BB39-0037002000A9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S152</xm:sqref>
        </x14:conditionalFormatting>
        <x14:conditionalFormatting xmlns:xm="http://schemas.microsoft.com/office/excel/2006/main">
          <x14:cfRule type="dataBar" priority="500" id="{005500F2-00B2-4E4F-AAE8-00E1000D0055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S152</xm:sqref>
        </x14:conditionalFormatting>
        <x14:conditionalFormatting xmlns:xm="http://schemas.microsoft.com/office/excel/2006/main">
          <x14:cfRule type="dataBar" priority="499" id="{00580018-009E-486C-9462-00DB00D9007E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S152</xm:sqref>
        </x14:conditionalFormatting>
        <x14:conditionalFormatting xmlns:xm="http://schemas.microsoft.com/office/excel/2006/main">
          <x14:cfRule type="dataBar" priority="498" id="{00EF0013-000D-4F46-A261-000700D4004D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T152</xm:sqref>
        </x14:conditionalFormatting>
        <x14:conditionalFormatting xmlns:xm="http://schemas.microsoft.com/office/excel/2006/main">
          <x14:cfRule type="dataBar" priority="497" id="{000C00AD-002B-4EB6-967A-00B3004A002D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T152</xm:sqref>
        </x14:conditionalFormatting>
        <x14:conditionalFormatting xmlns:xm="http://schemas.microsoft.com/office/excel/2006/main">
          <x14:cfRule type="dataBar" priority="496" id="{00BE00DD-0062-4840-90A6-0070008E0038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T152</xm:sqref>
        </x14:conditionalFormatting>
        <x14:conditionalFormatting xmlns:xm="http://schemas.microsoft.com/office/excel/2006/main">
          <x14:cfRule type="dataBar" priority="495" id="{00A40000-00DE-4A57-BAE9-00C600B8003C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U152</xm:sqref>
        </x14:conditionalFormatting>
        <x14:conditionalFormatting xmlns:xm="http://schemas.microsoft.com/office/excel/2006/main">
          <x14:cfRule type="dataBar" priority="494" id="{004200E9-002B-4A15-A6E5-0018000800B3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U152</xm:sqref>
        </x14:conditionalFormatting>
        <x14:conditionalFormatting xmlns:xm="http://schemas.microsoft.com/office/excel/2006/main">
          <x14:cfRule type="dataBar" priority="493" id="{00FF0038-00AE-4BC7-9BDC-0001009C0076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U152</xm:sqref>
        </x14:conditionalFormatting>
        <x14:conditionalFormatting xmlns:xm="http://schemas.microsoft.com/office/excel/2006/main">
          <x14:cfRule type="dataBar" priority="492" id="{0047003B-0064-420B-BC6A-008700A8003C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S152</xm:sqref>
        </x14:conditionalFormatting>
        <x14:conditionalFormatting xmlns:xm="http://schemas.microsoft.com/office/excel/2006/main">
          <x14:cfRule type="dataBar" priority="491" id="{00920018-00EF-4DDF-A779-00EF0001001C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S152</xm:sqref>
        </x14:conditionalFormatting>
        <x14:conditionalFormatting xmlns:xm="http://schemas.microsoft.com/office/excel/2006/main">
          <x14:cfRule type="dataBar" priority="490" id="{00D1004F-0075-4B5B-94AB-008C003000F7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S152</xm:sqref>
        </x14:conditionalFormatting>
        <x14:conditionalFormatting xmlns:xm="http://schemas.microsoft.com/office/excel/2006/main">
          <x14:cfRule type="dataBar" priority="489" id="{003A00D8-0036-46FE-8B6B-00FE00500011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S152</xm:sqref>
        </x14:conditionalFormatting>
        <x14:conditionalFormatting xmlns:xm="http://schemas.microsoft.com/office/excel/2006/main">
          <x14:cfRule type="dataBar" priority="488" id="{00E00031-00F1-48C3-8123-00B6005F00DF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S152</xm:sqref>
        </x14:conditionalFormatting>
        <x14:conditionalFormatting xmlns:xm="http://schemas.microsoft.com/office/excel/2006/main">
          <x14:cfRule type="dataBar" priority="487" id="{00070064-006B-4D0F-A37A-0053002000F2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S152</xm:sqref>
        </x14:conditionalFormatting>
        <x14:conditionalFormatting xmlns:xm="http://schemas.microsoft.com/office/excel/2006/main">
          <x14:cfRule type="dataBar" priority="486" id="{007700C8-0062-4265-994E-001300F0009B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S152</xm:sqref>
        </x14:conditionalFormatting>
        <x14:conditionalFormatting xmlns:xm="http://schemas.microsoft.com/office/excel/2006/main">
          <x14:cfRule type="dataBar" priority="485" id="{00DC00EA-0028-4AFD-B88B-005000C600B2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S152</xm:sqref>
        </x14:conditionalFormatting>
        <x14:conditionalFormatting xmlns:xm="http://schemas.microsoft.com/office/excel/2006/main">
          <x14:cfRule type="dataBar" priority="484" id="{0085002B-00F7-4F92-8395-00C600A10088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S152</xm:sqref>
        </x14:conditionalFormatting>
        <x14:conditionalFormatting xmlns:xm="http://schemas.microsoft.com/office/excel/2006/main">
          <x14:cfRule type="dataBar" priority="483" id="{0086002D-00BB-46EA-8B6B-0057007F0017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S152</xm:sqref>
        </x14:conditionalFormatting>
        <x14:conditionalFormatting xmlns:xm="http://schemas.microsoft.com/office/excel/2006/main">
          <x14:cfRule type="dataBar" priority="482" id="{00560088-0045-44A3-8713-007D004100AC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S152</xm:sqref>
        </x14:conditionalFormatting>
        <x14:conditionalFormatting xmlns:xm="http://schemas.microsoft.com/office/excel/2006/main">
          <x14:cfRule type="dataBar" priority="481" id="{008900E5-00F1-4A01-8501-000600D8000C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S152</xm:sqref>
        </x14:conditionalFormatting>
        <x14:conditionalFormatting xmlns:xm="http://schemas.microsoft.com/office/excel/2006/main">
          <x14:cfRule type="dataBar" priority="480" id="{00B900A9-0000-43A2-8728-00D400AB0092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S152</xm:sqref>
        </x14:conditionalFormatting>
        <x14:conditionalFormatting xmlns:xm="http://schemas.microsoft.com/office/excel/2006/main">
          <x14:cfRule type="dataBar" priority="479" id="{006800EF-000D-45BC-BD13-00DF0000007F}">
            <x14:dataBar maxLength="90" minLength="10" axisPosition="automatic" direction="context">
              <x14:cfvo type="min"/>
              <x14:cfvo type="max"/>
              <x14:fillColor rgb="FF63C384"/>
            </x14:dataBar>
          </x14:cfRule>
          <xm:sqref>N152</xm:sqref>
        </x14:conditionalFormatting>
        <x14:conditionalFormatting xmlns:xm="http://schemas.microsoft.com/office/excel/2006/main">
          <x14:cfRule type="dataBar" priority="478" id="{00BE0047-0002-46B2-86B4-0079006C004E}">
            <x14:dataBar maxLength="90" minLength="10" axisPosition="automatic" direction="context">
              <x14:cfvo type="num">
                <xm:f>0</xm:f>
              </x14:cfvo>
              <x14:cfvo type="max"/>
              <x14:fillColor rgb="FF638EC6"/>
            </x14:dataBar>
          </x14:cfRule>
          <xm:sqref>N152</xm:sqref>
        </x14:conditionalFormatting>
        <x14:conditionalFormatting xmlns:xm="http://schemas.microsoft.com/office/excel/2006/main">
          <x14:cfRule type="dataBar" priority="477" id="{00D10064-00AC-443F-AB68-00C7004E00DA}">
            <x14:dataBar maxLength="90" minLength="10" axisPosition="automatic" direction="context">
              <x14:cfvo type="min"/>
              <x14:cfvo type="max"/>
              <x14:fillColor rgb="FFFF555A"/>
            </x14:dataBar>
          </x14:cfRule>
          <xm:sqref>F152</xm:sqref>
        </x14:conditionalFormatting>
        <x14:conditionalFormatting xmlns:xm="http://schemas.microsoft.com/office/excel/2006/main">
          <x14:cfRule type="dataBar" priority="476" id="{00B800B2-009F-4139-A775-00F500390057}">
            <x14:dataBar maxLength="90" minLength="10" axisPosition="automatic" direction="context">
              <x14:cfvo type="num">
                <xm:f>0</xm:f>
              </x14:cfvo>
              <x14:cfvo type="max"/>
              <x14:fillColor rgb="FF638EC6"/>
            </x14:dataBar>
          </x14:cfRule>
          <xm:sqref>F152</xm:sqref>
        </x14:conditionalFormatting>
        <x14:conditionalFormatting xmlns:xm="http://schemas.microsoft.com/office/excel/2006/main">
          <x14:cfRule type="dataBar" priority="475" id="{00EC00C3-0011-4A9E-9599-00210091009F}">
            <x14:dataBar maxLength="90" minLength="10" axisPosition="automatic" direction="context">
              <x14:cfvo type="num">
                <xm:f>0</xm:f>
              </x14:cfvo>
              <x14:cfvo type="max"/>
              <x14:fillColor rgb="FFFF1515"/>
            </x14:dataBar>
          </x14:cfRule>
          <xm:sqref>F152</xm:sqref>
        </x14:conditionalFormatting>
        <x14:conditionalFormatting xmlns:xm="http://schemas.microsoft.com/office/excel/2006/main">
          <x14:cfRule type="dataBar" priority="474" id="{001900ED-0025-4D3F-A75A-00DE003D007D}">
            <x14:dataBar maxLength="90" minLength="10" axisPosition="automatic" direction="context">
              <x14:cfvo type="num">
                <xm:f>0</xm:f>
              </x14:cfvo>
              <x14:cfvo type="max"/>
              <x14:fillColor rgb="FFFF555A"/>
            </x14:dataBar>
          </x14:cfRule>
          <xm:sqref>F152</xm:sqref>
        </x14:conditionalFormatting>
        <x14:conditionalFormatting xmlns:xm="http://schemas.microsoft.com/office/excel/2006/main">
          <x14:cfRule type="dataBar" priority="473" id="{00B70083-0059-4560-B76D-00F500B40073}">
            <x14:dataBar maxLength="90" minLength="10" axisPosition="automatic" direction="context">
              <x14:cfvo type="min"/>
              <x14:cfvo type="max"/>
              <x14:fillColor rgb="FFFF555A"/>
            </x14:dataBar>
          </x14:cfRule>
          <xm:sqref>F152</xm:sqref>
        </x14:conditionalFormatting>
        <x14:conditionalFormatting xmlns:xm="http://schemas.microsoft.com/office/excel/2006/main">
          <x14:cfRule type="dataBar" priority="472" id="{00B70083-0062-4918-ACF4-00B000790092}">
            <x14:dataBar maxLength="90" minLength="10" axisPosition="automatic" direction="context">
              <x14:cfvo type="min"/>
              <x14:cfvo type="max"/>
              <x14:fillColor rgb="FF63C384"/>
            </x14:dataBar>
          </x14:cfRule>
          <xm:sqref>N152</xm:sqref>
        </x14:conditionalFormatting>
        <x14:conditionalFormatting xmlns:xm="http://schemas.microsoft.com/office/excel/2006/main">
          <x14:cfRule type="dataBar" priority="471" id="{0033007F-00D6-40B6-B077-001300A500F4}">
            <x14:dataBar maxLength="90" minLength="10" axisPosition="automatic" direction="context">
              <x14:cfvo type="min"/>
              <x14:cfvo type="max"/>
              <x14:fillColor rgb="FFFFB628"/>
            </x14:dataBar>
          </x14:cfRule>
          <xm:sqref>S152</xm:sqref>
        </x14:conditionalFormatting>
        <x14:conditionalFormatting xmlns:xm="http://schemas.microsoft.com/office/excel/2006/main">
          <x14:cfRule type="dataBar" priority="470" id="{00F6006C-0050-4682-B45F-0063005D0013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T152</xm:sqref>
        </x14:conditionalFormatting>
        <x14:conditionalFormatting xmlns:xm="http://schemas.microsoft.com/office/excel/2006/main">
          <x14:cfRule type="dataBar" priority="469" id="{004D001D-002C-49BA-AE9F-00A800610005}">
            <x14:dataBar maxLength="90" minLength="10" axisPosition="automatic" direction="context">
              <x14:cfvo type="num">
                <xm:f>0</xm:f>
              </x14:cfvo>
              <x14:cfvo type="max"/>
              <x14:fillColor rgb="FF638EC6"/>
            </x14:dataBar>
          </x14:cfRule>
          <xm:sqref>T152</xm:sqref>
        </x14:conditionalFormatting>
        <x14:conditionalFormatting xmlns:xm="http://schemas.microsoft.com/office/excel/2006/main">
          <x14:cfRule type="dataBar" priority="467" id="{00240074-009C-4030-BFEC-001800CD00A5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N150:N152</xm:sqref>
        </x14:conditionalFormatting>
        <x14:conditionalFormatting xmlns:xm="http://schemas.microsoft.com/office/excel/2006/main">
          <x14:cfRule type="dataBar" priority="466" id="{0071002A-0035-415E-B0C3-00B600870041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T150:T152</xm:sqref>
        </x14:conditionalFormatting>
        <x14:conditionalFormatting xmlns:xm="http://schemas.microsoft.com/office/excel/2006/main">
          <x14:cfRule type="dataBar" priority="465" id="{00E3000B-0030-4ADE-924A-00C4008D0092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U150:U152</xm:sqref>
        </x14:conditionalFormatting>
        <x14:conditionalFormatting xmlns:xm="http://schemas.microsoft.com/office/excel/2006/main">
          <x14:cfRule type="dataBar" priority="464" id="{00840098-0065-43DF-B4E8-004800B30091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U150:U152</xm:sqref>
        </x14:conditionalFormatting>
        <x14:conditionalFormatting xmlns:xm="http://schemas.microsoft.com/office/excel/2006/main">
          <x14:cfRule type="dataBar" priority="463" id="{008E0087-00B6-474D-980A-004100B10033}">
            <x14:dataBar maxLength="90" minLength="10" axisPosition="automatic" direction="context">
              <x14:cfvo type="min"/>
              <x14:cfvo type="max"/>
              <x14:fillColor rgb="FFFF555A"/>
            </x14:dataBar>
          </x14:cfRule>
          <xm:sqref>F150:F152</xm:sqref>
        </x14:conditionalFormatting>
        <x14:conditionalFormatting xmlns:xm="http://schemas.microsoft.com/office/excel/2006/main">
          <x14:cfRule type="dataBar" priority="462" id="{0005000D-00AF-4773-A436-0085003D003D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S149</xm:sqref>
        </x14:conditionalFormatting>
        <x14:conditionalFormatting xmlns:xm="http://schemas.microsoft.com/office/excel/2006/main">
          <x14:cfRule type="dataBar" priority="461" id="{009200FE-0025-4901-A6E1-001A00D1003D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F149</xm:sqref>
        </x14:conditionalFormatting>
        <x14:conditionalFormatting xmlns:xm="http://schemas.microsoft.com/office/excel/2006/main">
          <x14:cfRule type="dataBar" priority="460" id="{00DF003D-0076-44AC-A62B-00DD004600D9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N149</xm:sqref>
        </x14:conditionalFormatting>
        <x14:conditionalFormatting xmlns:xm="http://schemas.microsoft.com/office/excel/2006/main">
          <x14:cfRule type="dataBar" priority="459" id="{00720002-00C9-4E34-BEE4-0042007E0027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F149</xm:sqref>
        </x14:conditionalFormatting>
        <x14:conditionalFormatting xmlns:xm="http://schemas.microsoft.com/office/excel/2006/main">
          <x14:cfRule type="dataBar" priority="458" id="{0073007F-001A-4936-83B4-000D00870006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N149</xm:sqref>
        </x14:conditionalFormatting>
        <x14:conditionalFormatting xmlns:xm="http://schemas.microsoft.com/office/excel/2006/main">
          <x14:cfRule type="dataBar" priority="457" id="{0098007E-008C-47BF-9B8A-008E009900EB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S149</xm:sqref>
        </x14:conditionalFormatting>
        <x14:conditionalFormatting xmlns:xm="http://schemas.microsoft.com/office/excel/2006/main">
          <x14:cfRule type="dataBar" priority="456" id="{00F9005E-008D-4ED2-80C6-0050005C00D3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S149</xm:sqref>
        </x14:conditionalFormatting>
        <x14:conditionalFormatting xmlns:xm="http://schemas.microsoft.com/office/excel/2006/main">
          <x14:cfRule type="dataBar" priority="455" id="{006F00B2-006F-4369-BE89-006D00A0000C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F149</xm:sqref>
        </x14:conditionalFormatting>
        <x14:conditionalFormatting xmlns:xm="http://schemas.microsoft.com/office/excel/2006/main">
          <x14:cfRule type="dataBar" priority="454" id="{00C600A0-0068-46DA-B7DE-00E900C000F6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N149</xm:sqref>
        </x14:conditionalFormatting>
        <x14:conditionalFormatting xmlns:xm="http://schemas.microsoft.com/office/excel/2006/main">
          <x14:cfRule type="dataBar" priority="453" id="{008E0058-0031-46BB-90AE-00B2002E0001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S149</xm:sqref>
        </x14:conditionalFormatting>
        <x14:conditionalFormatting xmlns:xm="http://schemas.microsoft.com/office/excel/2006/main">
          <x14:cfRule type="dataBar" priority="452" id="{00420058-006B-4836-811B-000D00A9008D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S149</xm:sqref>
        </x14:conditionalFormatting>
        <x14:conditionalFormatting xmlns:xm="http://schemas.microsoft.com/office/excel/2006/main">
          <x14:cfRule type="dataBar" priority="451" id="{002A00E3-0035-4034-A7DA-008300C5000B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S149</xm:sqref>
        </x14:conditionalFormatting>
        <x14:conditionalFormatting xmlns:xm="http://schemas.microsoft.com/office/excel/2006/main">
          <x14:cfRule type="dataBar" priority="450" id="{00360096-00F6-4634-BDE4-005600CC00F5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S149</xm:sqref>
        </x14:conditionalFormatting>
        <x14:conditionalFormatting xmlns:xm="http://schemas.microsoft.com/office/excel/2006/main">
          <x14:cfRule type="dataBar" priority="449" id="{0006006E-004F-4B79-876A-00F600480025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S149</xm:sqref>
        </x14:conditionalFormatting>
        <x14:conditionalFormatting xmlns:xm="http://schemas.microsoft.com/office/excel/2006/main">
          <x14:cfRule type="dataBar" priority="448" id="{00F10071-00BD-45E6-A6BB-0065007B00F8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S149</xm:sqref>
        </x14:conditionalFormatting>
        <x14:conditionalFormatting xmlns:xm="http://schemas.microsoft.com/office/excel/2006/main">
          <x14:cfRule type="dataBar" priority="447" id="{001F00E0-0048-4329-9638-006500F40082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S149</xm:sqref>
        </x14:conditionalFormatting>
        <x14:conditionalFormatting xmlns:xm="http://schemas.microsoft.com/office/excel/2006/main">
          <x14:cfRule type="dataBar" priority="446" id="{0052007F-0085-4B2D-B594-00EF00370015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S149</xm:sqref>
        </x14:conditionalFormatting>
        <x14:conditionalFormatting xmlns:xm="http://schemas.microsoft.com/office/excel/2006/main">
          <x14:cfRule type="dataBar" priority="445" id="{00BD004D-00A0-4EC5-AB13-0032007600CD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S149</xm:sqref>
        </x14:conditionalFormatting>
        <x14:conditionalFormatting xmlns:xm="http://schemas.microsoft.com/office/excel/2006/main">
          <x14:cfRule type="dataBar" priority="444" id="{00F300F2-005C-4A70-8E0A-00EB00B3001B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S149</xm:sqref>
        </x14:conditionalFormatting>
        <x14:conditionalFormatting xmlns:xm="http://schemas.microsoft.com/office/excel/2006/main">
          <x14:cfRule type="dataBar" priority="443" id="{00B50099-008A-40A0-97AD-00A900570050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T149</xm:sqref>
        </x14:conditionalFormatting>
        <x14:conditionalFormatting xmlns:xm="http://schemas.microsoft.com/office/excel/2006/main">
          <x14:cfRule type="dataBar" priority="442" id="{00DA0041-007E-4B0D-B4EA-00FE008800C1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T149</xm:sqref>
        </x14:conditionalFormatting>
        <x14:conditionalFormatting xmlns:xm="http://schemas.microsoft.com/office/excel/2006/main">
          <x14:cfRule type="dataBar" priority="440" id="{002F0076-006F-4A14-A541-0021007300F4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U149</xm:sqref>
        </x14:conditionalFormatting>
        <x14:conditionalFormatting xmlns:xm="http://schemas.microsoft.com/office/excel/2006/main">
          <x14:cfRule type="dataBar" priority="439" id="{000E0085-0023-47BE-BFE7-003100610022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U149</xm:sqref>
        </x14:conditionalFormatting>
        <x14:conditionalFormatting xmlns:xm="http://schemas.microsoft.com/office/excel/2006/main">
          <x14:cfRule type="dataBar" priority="391" id="{007A00D0-0021-4EB9-9B30-0088002F007B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F163</xm:sqref>
        </x14:conditionalFormatting>
        <x14:conditionalFormatting xmlns:xm="http://schemas.microsoft.com/office/excel/2006/main">
          <x14:cfRule type="dataBar" priority="384" id="{00400091-00A9-464C-9146-006800CE00A9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F161</xm:sqref>
        </x14:conditionalFormatting>
        <x14:conditionalFormatting xmlns:xm="http://schemas.microsoft.com/office/excel/2006/main">
          <x14:cfRule type="dataBar" priority="383" id="{00430060-006F-4E21-ABDE-00F900B2001D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T157</xm:sqref>
        </x14:conditionalFormatting>
        <x14:conditionalFormatting xmlns:xm="http://schemas.microsoft.com/office/excel/2006/main">
          <x14:cfRule type="dataBar" priority="382" id="{0030009D-005B-47B5-B025-00D6009100D1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T157</xm:sqref>
        </x14:conditionalFormatting>
        <x14:conditionalFormatting xmlns:xm="http://schemas.microsoft.com/office/excel/2006/main">
          <x14:cfRule type="dataBar" priority="381" id="{00F100BD-001B-4C47-918C-004B0026008A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T157</xm:sqref>
        </x14:conditionalFormatting>
        <x14:conditionalFormatting xmlns:xm="http://schemas.microsoft.com/office/excel/2006/main">
          <x14:cfRule type="dataBar" priority="377" id="{00EC0076-0038-4ACF-AC39-00A7002600E9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T161</xm:sqref>
        </x14:conditionalFormatting>
        <x14:conditionalFormatting xmlns:xm="http://schemas.microsoft.com/office/excel/2006/main">
          <x14:cfRule type="dataBar" priority="376" id="{00B00050-007E-47DF-AE06-001D007000EB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T161</xm:sqref>
        </x14:conditionalFormatting>
        <x14:conditionalFormatting xmlns:xm="http://schemas.microsoft.com/office/excel/2006/main">
          <x14:cfRule type="dataBar" priority="375" id="{000C00F4-00DD-4581-8E61-003F0026000F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T161</xm:sqref>
        </x14:conditionalFormatting>
        <x14:conditionalFormatting xmlns:xm="http://schemas.microsoft.com/office/excel/2006/main">
          <x14:cfRule type="dataBar" priority="374" id="{0044003B-000D-425A-A7F9-004F003F0003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T160</xm:sqref>
        </x14:conditionalFormatting>
        <x14:conditionalFormatting xmlns:xm="http://schemas.microsoft.com/office/excel/2006/main">
          <x14:cfRule type="dataBar" priority="373" id="{000600EF-00F0-441B-AE7E-007A00E30033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T160</xm:sqref>
        </x14:conditionalFormatting>
        <x14:conditionalFormatting xmlns:xm="http://schemas.microsoft.com/office/excel/2006/main">
          <x14:cfRule type="dataBar" priority="372" id="{009A00F0-0063-4E8A-9243-0013000C0060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T160</xm:sqref>
        </x14:conditionalFormatting>
        <x14:conditionalFormatting xmlns:xm="http://schemas.microsoft.com/office/excel/2006/main">
          <x14:cfRule type="dataBar" priority="371" id="{00100016-0053-4C0D-8F33-005E00300089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U157</xm:sqref>
        </x14:conditionalFormatting>
        <x14:conditionalFormatting xmlns:xm="http://schemas.microsoft.com/office/excel/2006/main">
          <x14:cfRule type="dataBar" priority="370" id="{00A60031-0096-4473-8408-005A00660092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U157</xm:sqref>
        </x14:conditionalFormatting>
        <x14:conditionalFormatting xmlns:xm="http://schemas.microsoft.com/office/excel/2006/main">
          <x14:cfRule type="dataBar" priority="369" id="{00FC009B-0097-479B-8D52-00A800AB0079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U157</xm:sqref>
        </x14:conditionalFormatting>
        <x14:conditionalFormatting xmlns:xm="http://schemas.microsoft.com/office/excel/2006/main">
          <x14:cfRule type="dataBar" priority="366" id="{009A00C8-002C-4011-BC60-003C00AE00A4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U161</xm:sqref>
        </x14:conditionalFormatting>
        <x14:conditionalFormatting xmlns:xm="http://schemas.microsoft.com/office/excel/2006/main">
          <x14:cfRule type="dataBar" priority="365" id="{000C0079-00BB-437A-A944-00A40027005C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U161</xm:sqref>
        </x14:conditionalFormatting>
        <x14:conditionalFormatting xmlns:xm="http://schemas.microsoft.com/office/excel/2006/main">
          <x14:cfRule type="dataBar" priority="364" id="{00E3003A-002A-436A-B938-00F900D40021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U161</xm:sqref>
        </x14:conditionalFormatting>
        <x14:conditionalFormatting xmlns:xm="http://schemas.microsoft.com/office/excel/2006/main">
          <x14:cfRule type="dataBar" priority="363" id="{001E006D-0012-467A-A1FC-007700E200D5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U160</xm:sqref>
        </x14:conditionalFormatting>
        <x14:conditionalFormatting xmlns:xm="http://schemas.microsoft.com/office/excel/2006/main">
          <x14:cfRule type="dataBar" priority="362" id="{0032006B-0015-48D5-A080-004C00A900C0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U160</xm:sqref>
        </x14:conditionalFormatting>
        <x14:conditionalFormatting xmlns:xm="http://schemas.microsoft.com/office/excel/2006/main">
          <x14:cfRule type="dataBar" priority="361" id="{00EC00C2-0015-4ACB-8BCD-009B0010003C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U160</xm:sqref>
        </x14:conditionalFormatting>
        <x14:conditionalFormatting xmlns:xm="http://schemas.microsoft.com/office/excel/2006/main">
          <x14:cfRule type="dataBar" priority="360" id="{00BC0036-00BA-4CE6-A2C3-008000BC00E9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S158</xm:sqref>
        </x14:conditionalFormatting>
        <x14:conditionalFormatting xmlns:xm="http://schemas.microsoft.com/office/excel/2006/main">
          <x14:cfRule type="dataBar" priority="359" id="{00800034-009A-4DC0-BE53-002D00AD009C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F158</xm:sqref>
        </x14:conditionalFormatting>
        <x14:conditionalFormatting xmlns:xm="http://schemas.microsoft.com/office/excel/2006/main">
          <x14:cfRule type="dataBar" priority="358" id="{00D2004A-00BD-4F96-B8AA-005200810043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N158</xm:sqref>
        </x14:conditionalFormatting>
        <x14:conditionalFormatting xmlns:xm="http://schemas.microsoft.com/office/excel/2006/main">
          <x14:cfRule type="dataBar" priority="357" id="{00E40084-004A-48FB-9580-008800E600CD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F166</xm:sqref>
        </x14:conditionalFormatting>
        <x14:conditionalFormatting xmlns:xm="http://schemas.microsoft.com/office/excel/2006/main">
          <x14:cfRule type="dataBar" priority="356" id="{005B00A9-006D-48BE-AA56-003700040006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U159</xm:sqref>
        </x14:conditionalFormatting>
        <x14:conditionalFormatting xmlns:xm="http://schemas.microsoft.com/office/excel/2006/main">
          <x14:cfRule type="dataBar" priority="355" id="{00B3005B-00A6-4970-A9E5-007100D6001A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U159</xm:sqref>
        </x14:conditionalFormatting>
        <x14:conditionalFormatting xmlns:xm="http://schemas.microsoft.com/office/excel/2006/main">
          <x14:cfRule type="dataBar" priority="354" id="{0038008F-0016-446A-BBAF-00CB00AD0027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U159</xm:sqref>
        </x14:conditionalFormatting>
        <x14:conditionalFormatting xmlns:xm="http://schemas.microsoft.com/office/excel/2006/main">
          <x14:cfRule type="dataBar" priority="353" id="{006800DB-0055-4061-B65A-00D0001700FC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F157</xm:sqref>
        </x14:conditionalFormatting>
        <x14:conditionalFormatting xmlns:xm="http://schemas.microsoft.com/office/excel/2006/main">
          <x14:cfRule type="dataBar" priority="352" id="{00990073-00FE-4B7F-A73E-005500120059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N157</xm:sqref>
        </x14:conditionalFormatting>
        <x14:conditionalFormatting xmlns:xm="http://schemas.microsoft.com/office/excel/2006/main">
          <x14:cfRule type="dataBar" priority="351" id="{00B100F7-00CF-4C8A-BB3F-007400E400D4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F157</xm:sqref>
        </x14:conditionalFormatting>
        <x14:conditionalFormatting xmlns:xm="http://schemas.microsoft.com/office/excel/2006/main">
          <x14:cfRule type="dataBar" priority="350" id="{00D4001E-00FD-44D8-9611-006E00C2007C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N157</xm:sqref>
        </x14:conditionalFormatting>
        <x14:conditionalFormatting xmlns:xm="http://schemas.microsoft.com/office/excel/2006/main">
          <x14:cfRule type="dataBar" priority="349" id="{009D00DE-00A6-4744-B58F-00CB00EF0014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F157</xm:sqref>
        </x14:conditionalFormatting>
        <x14:conditionalFormatting xmlns:xm="http://schemas.microsoft.com/office/excel/2006/main">
          <x14:cfRule type="dataBar" priority="348" id="{000500D1-0028-4A31-8A6A-00B5003300B8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N157</xm:sqref>
        </x14:conditionalFormatting>
        <x14:conditionalFormatting xmlns:xm="http://schemas.microsoft.com/office/excel/2006/main">
          <x14:cfRule type="dataBar" priority="347" id="{00900049-0040-4D14-B59D-00490045000D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S159</xm:sqref>
        </x14:conditionalFormatting>
        <x14:conditionalFormatting xmlns:xm="http://schemas.microsoft.com/office/excel/2006/main">
          <x14:cfRule type="dataBar" priority="346" id="{00C900AF-0095-49B5-9E2B-007600B70002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F159</xm:sqref>
        </x14:conditionalFormatting>
        <x14:conditionalFormatting xmlns:xm="http://schemas.microsoft.com/office/excel/2006/main">
          <x14:cfRule type="dataBar" priority="345" id="{00DA0065-001D-4421-96C3-003F007B0084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N159</xm:sqref>
        </x14:conditionalFormatting>
        <x14:conditionalFormatting xmlns:xm="http://schemas.microsoft.com/office/excel/2006/main">
          <x14:cfRule type="dataBar" priority="344" id="{00500086-00E2-4543-A8E2-0011001B0050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F164</xm:sqref>
        </x14:conditionalFormatting>
        <x14:conditionalFormatting xmlns:xm="http://schemas.microsoft.com/office/excel/2006/main">
          <x14:cfRule type="dataBar" priority="343" id="{001200CB-0031-4C0F-B067-00E800CF0027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T160</xm:sqref>
        </x14:conditionalFormatting>
        <x14:conditionalFormatting xmlns:xm="http://schemas.microsoft.com/office/excel/2006/main">
          <x14:cfRule type="dataBar" priority="342" id="{005B0067-009C-49D7-96A9-00ED004200E8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T160</xm:sqref>
        </x14:conditionalFormatting>
        <x14:conditionalFormatting xmlns:xm="http://schemas.microsoft.com/office/excel/2006/main">
          <x14:cfRule type="dataBar" priority="341" id="{00140013-0088-45C4-B6B7-002300A60017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T160</xm:sqref>
        </x14:conditionalFormatting>
        <x14:conditionalFormatting xmlns:xm="http://schemas.microsoft.com/office/excel/2006/main">
          <x14:cfRule type="dataBar" priority="340" id="{002E0037-001C-4207-92C1-0096002400A3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T159</xm:sqref>
        </x14:conditionalFormatting>
        <x14:conditionalFormatting xmlns:xm="http://schemas.microsoft.com/office/excel/2006/main">
          <x14:cfRule type="dataBar" priority="339" id="{0039000D-0035-4450-A95B-006A001F00EC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T159</xm:sqref>
        </x14:conditionalFormatting>
        <x14:conditionalFormatting xmlns:xm="http://schemas.microsoft.com/office/excel/2006/main">
          <x14:cfRule type="dataBar" priority="338" id="{00AE00A9-003D-4597-896A-00D600FA0077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T159</xm:sqref>
        </x14:conditionalFormatting>
        <x14:conditionalFormatting xmlns:xm="http://schemas.microsoft.com/office/excel/2006/main">
          <x14:cfRule type="dataBar" priority="337" id="{00F800BC-00FA-4A55-98C0-00E700CC00E4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T164</xm:sqref>
        </x14:conditionalFormatting>
        <x14:conditionalFormatting xmlns:xm="http://schemas.microsoft.com/office/excel/2006/main">
          <x14:cfRule type="dataBar" priority="336" id="{005B0054-0017-436F-81E8-00DF0052001F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T164</xm:sqref>
        </x14:conditionalFormatting>
        <x14:conditionalFormatting xmlns:xm="http://schemas.microsoft.com/office/excel/2006/main">
          <x14:cfRule type="dataBar" priority="335" id="{006B00C0-0064-4BF4-9F99-005600BE0036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T164</xm:sqref>
        </x14:conditionalFormatting>
        <x14:conditionalFormatting xmlns:xm="http://schemas.microsoft.com/office/excel/2006/main">
          <x14:cfRule type="dataBar" priority="334" id="{00B800A4-0063-45D4-9B57-00BA0096005E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T163</xm:sqref>
        </x14:conditionalFormatting>
        <x14:conditionalFormatting xmlns:xm="http://schemas.microsoft.com/office/excel/2006/main">
          <x14:cfRule type="dataBar" priority="333" id="{00A5007D-001C-4D86-A937-0060008B0030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T163</xm:sqref>
        </x14:conditionalFormatting>
        <x14:conditionalFormatting xmlns:xm="http://schemas.microsoft.com/office/excel/2006/main">
          <x14:cfRule type="dataBar" priority="332" id="{00AA0039-001F-4074-8BCF-00CB005D006F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T163</xm:sqref>
        </x14:conditionalFormatting>
        <x14:conditionalFormatting xmlns:xm="http://schemas.microsoft.com/office/excel/2006/main">
          <x14:cfRule type="dataBar" priority="331" id="{0052003D-00F1-4AF3-8A53-0031008F00DE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U160</xm:sqref>
        </x14:conditionalFormatting>
        <x14:conditionalFormatting xmlns:xm="http://schemas.microsoft.com/office/excel/2006/main">
          <x14:cfRule type="dataBar" priority="330" id="{008B0014-00EB-4B5B-AF08-004700F70088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U160</xm:sqref>
        </x14:conditionalFormatting>
        <x14:conditionalFormatting xmlns:xm="http://schemas.microsoft.com/office/excel/2006/main">
          <x14:cfRule type="dataBar" priority="329" id="{00FF00A2-008D-4190-B4B1-001000740077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U160</xm:sqref>
        </x14:conditionalFormatting>
        <x14:conditionalFormatting xmlns:xm="http://schemas.microsoft.com/office/excel/2006/main">
          <x14:cfRule type="dataBar" priority="328" id="{006A0009-0016-498C-AE1D-00DD006D00EA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U159</xm:sqref>
        </x14:conditionalFormatting>
        <x14:conditionalFormatting xmlns:xm="http://schemas.microsoft.com/office/excel/2006/main">
          <x14:cfRule type="dataBar" priority="327" id="{00B400EB-007A-452C-B64F-003C003A00A6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U159</xm:sqref>
        </x14:conditionalFormatting>
        <x14:conditionalFormatting xmlns:xm="http://schemas.microsoft.com/office/excel/2006/main">
          <x14:cfRule type="dataBar" priority="326" id="{00950057-0024-461E-AA62-001000330071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U164</xm:sqref>
        </x14:conditionalFormatting>
        <x14:conditionalFormatting xmlns:xm="http://schemas.microsoft.com/office/excel/2006/main">
          <x14:cfRule type="dataBar" priority="325" id="{00DF0028-0034-4DF5-8983-009200670098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U164</xm:sqref>
        </x14:conditionalFormatting>
        <x14:conditionalFormatting xmlns:xm="http://schemas.microsoft.com/office/excel/2006/main">
          <x14:cfRule type="dataBar" priority="324" id="{00C20098-0047-491C-85FA-003E000500A1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U164</xm:sqref>
        </x14:conditionalFormatting>
        <x14:conditionalFormatting xmlns:xm="http://schemas.microsoft.com/office/excel/2006/main">
          <x14:cfRule type="dataBar" priority="323" id="{00C00061-0047-484F-88B8-005B00D50081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U163</xm:sqref>
        </x14:conditionalFormatting>
        <x14:conditionalFormatting xmlns:xm="http://schemas.microsoft.com/office/excel/2006/main">
          <x14:cfRule type="dataBar" priority="322" id="{002D002E-00E4-4795-9D0E-008D0071007A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U163</xm:sqref>
        </x14:conditionalFormatting>
        <x14:conditionalFormatting xmlns:xm="http://schemas.microsoft.com/office/excel/2006/main">
          <x14:cfRule type="dataBar" priority="321" id="{00960020-007E-46F5-BDDC-005600C0004C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U163</xm:sqref>
        </x14:conditionalFormatting>
        <x14:conditionalFormatting xmlns:xm="http://schemas.microsoft.com/office/excel/2006/main">
          <x14:cfRule type="dataBar" priority="320" id="{00270061-005D-43A5-A319-00C4005E0083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S154</xm:sqref>
        </x14:conditionalFormatting>
        <x14:conditionalFormatting xmlns:xm="http://schemas.microsoft.com/office/excel/2006/main">
          <x14:cfRule type="dataBar" priority="319" id="{007E0041-0036-4B04-AC52-00D400BD0032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F154</xm:sqref>
        </x14:conditionalFormatting>
        <x14:conditionalFormatting xmlns:xm="http://schemas.microsoft.com/office/excel/2006/main">
          <x14:cfRule type="dataBar" priority="318" id="{00FF006A-0044-45B3-9BD0-001600CE00A7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N154</xm:sqref>
        </x14:conditionalFormatting>
        <x14:conditionalFormatting xmlns:xm="http://schemas.microsoft.com/office/excel/2006/main">
          <x14:cfRule type="dataBar" priority="317" id="{00C20090-0060-4E3E-AB29-004000C00005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S154</xm:sqref>
        </x14:conditionalFormatting>
        <x14:conditionalFormatting xmlns:xm="http://schemas.microsoft.com/office/excel/2006/main">
          <x14:cfRule type="dataBar" priority="316" id="{00E4008B-00C3-4CB2-844E-0061005500BF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F154</xm:sqref>
        </x14:conditionalFormatting>
        <x14:conditionalFormatting xmlns:xm="http://schemas.microsoft.com/office/excel/2006/main">
          <x14:cfRule type="dataBar" priority="315" id="{003D0002-00A6-4F96-8063-006500600080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N154</xm:sqref>
        </x14:conditionalFormatting>
        <x14:conditionalFormatting xmlns:xm="http://schemas.microsoft.com/office/excel/2006/main">
          <x14:cfRule type="dataBar" priority="314" id="{00620027-00E5-425D-B7B3-007A00180075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F154</xm:sqref>
        </x14:conditionalFormatting>
        <x14:conditionalFormatting xmlns:xm="http://schemas.microsoft.com/office/excel/2006/main">
          <x14:cfRule type="dataBar" priority="313" id="{008600A6-00EC-48C7-ABFA-005C006700A5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N154</xm:sqref>
        </x14:conditionalFormatting>
        <x14:conditionalFormatting xmlns:xm="http://schemas.microsoft.com/office/excel/2006/main">
          <x14:cfRule type="dataBar" priority="312" id="{004A00D7-0076-43CA-B9D7-00EB00070041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S154</xm:sqref>
        </x14:conditionalFormatting>
        <x14:conditionalFormatting xmlns:xm="http://schemas.microsoft.com/office/excel/2006/main">
          <x14:cfRule type="dataBar" priority="311" id="{005800AA-00D0-41E3-950A-00CE003C00D6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S154</xm:sqref>
        </x14:conditionalFormatting>
        <x14:conditionalFormatting xmlns:xm="http://schemas.microsoft.com/office/excel/2006/main">
          <x14:cfRule type="dataBar" priority="310" id="{00AF00A8-00A7-4109-99EC-0080002400E9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F154</xm:sqref>
        </x14:conditionalFormatting>
        <x14:conditionalFormatting xmlns:xm="http://schemas.microsoft.com/office/excel/2006/main">
          <x14:cfRule type="dataBar" priority="309" id="{0032005C-0039-42F0-A119-00930004000E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N154</xm:sqref>
        </x14:conditionalFormatting>
        <x14:conditionalFormatting xmlns:xm="http://schemas.microsoft.com/office/excel/2006/main">
          <x14:cfRule type="dataBar" priority="308" id="{00940055-00FD-44BD-917C-002500470040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S154</xm:sqref>
        </x14:conditionalFormatting>
        <x14:conditionalFormatting xmlns:xm="http://schemas.microsoft.com/office/excel/2006/main">
          <x14:cfRule type="dataBar" priority="307" id="{00DD0074-00AA-4EF4-A250-000000240039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S154</xm:sqref>
        </x14:conditionalFormatting>
        <x14:conditionalFormatting xmlns:xm="http://schemas.microsoft.com/office/excel/2006/main">
          <x14:cfRule type="dataBar" priority="306" id="{00A90087-00CB-4B9B-A7B2-002300F400CF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S154</xm:sqref>
        </x14:conditionalFormatting>
        <x14:conditionalFormatting xmlns:xm="http://schemas.microsoft.com/office/excel/2006/main">
          <x14:cfRule type="dataBar" priority="305" id="{009400F2-00DB-4B53-95B3-007F001A00CF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S154</xm:sqref>
        </x14:conditionalFormatting>
        <x14:conditionalFormatting xmlns:xm="http://schemas.microsoft.com/office/excel/2006/main">
          <x14:cfRule type="dataBar" priority="304" id="{004E0073-00F4-4214-8904-009F00170022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S154</xm:sqref>
        </x14:conditionalFormatting>
        <x14:conditionalFormatting xmlns:xm="http://schemas.microsoft.com/office/excel/2006/main">
          <x14:cfRule type="dataBar" priority="303" id="{00ED00EA-00DF-421E-9B65-006A00740018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S154</xm:sqref>
        </x14:conditionalFormatting>
        <x14:conditionalFormatting xmlns:xm="http://schemas.microsoft.com/office/excel/2006/main">
          <x14:cfRule type="dataBar" priority="302" id="{00A90018-004D-4DD9-87F4-00C6000E00D3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S154</xm:sqref>
        </x14:conditionalFormatting>
        <x14:conditionalFormatting xmlns:xm="http://schemas.microsoft.com/office/excel/2006/main">
          <x14:cfRule type="dataBar" priority="301" id="{0094004F-005B-4872-9EAA-006900970068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S154</xm:sqref>
        </x14:conditionalFormatting>
        <x14:conditionalFormatting xmlns:xm="http://schemas.microsoft.com/office/excel/2006/main">
          <x14:cfRule type="dataBar" priority="300" id="{00FB00D5-00E7-42E3-A546-007400EE0072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S154</xm:sqref>
        </x14:conditionalFormatting>
        <x14:conditionalFormatting xmlns:xm="http://schemas.microsoft.com/office/excel/2006/main">
          <x14:cfRule type="dataBar" priority="299" id="{00F20067-00F3-481E-99C5-0008003F005B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S154</xm:sqref>
        </x14:conditionalFormatting>
        <x14:conditionalFormatting xmlns:xm="http://schemas.microsoft.com/office/excel/2006/main">
          <x14:cfRule type="dataBar" priority="298" id="{00E30083-0079-4F7B-8590-0061002D0001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T154</xm:sqref>
        </x14:conditionalFormatting>
        <x14:conditionalFormatting xmlns:xm="http://schemas.microsoft.com/office/excel/2006/main">
          <x14:cfRule type="dataBar" priority="297" id="{00BA0018-00EE-4947-A91C-009E00EC0011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T154</xm:sqref>
        </x14:conditionalFormatting>
        <x14:conditionalFormatting xmlns:xm="http://schemas.microsoft.com/office/excel/2006/main">
          <x14:cfRule type="dataBar" priority="295" id="{00CF00BB-0016-4E73-ADAA-0041008C00DC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U154</xm:sqref>
        </x14:conditionalFormatting>
        <x14:conditionalFormatting xmlns:xm="http://schemas.microsoft.com/office/excel/2006/main">
          <x14:cfRule type="dataBar" priority="294" id="{00B70066-00B0-41B6-BF5A-004900C30055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U154</xm:sqref>
        </x14:conditionalFormatting>
        <x14:conditionalFormatting xmlns:xm="http://schemas.microsoft.com/office/excel/2006/main">
          <x14:cfRule type="dataBar" priority="292" id="{0051003C-0015-4140-A949-009200C700DE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S154</xm:sqref>
        </x14:conditionalFormatting>
        <x14:conditionalFormatting xmlns:xm="http://schemas.microsoft.com/office/excel/2006/main">
          <x14:cfRule type="dataBar" priority="291" id="{00A50003-00ED-42C8-8EFA-00D500DA0002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S154</xm:sqref>
        </x14:conditionalFormatting>
        <x14:conditionalFormatting xmlns:xm="http://schemas.microsoft.com/office/excel/2006/main">
          <x14:cfRule type="dataBar" priority="290" id="{00B000BB-001F-4C5A-AE82-006400440079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S154</xm:sqref>
        </x14:conditionalFormatting>
        <x14:conditionalFormatting xmlns:xm="http://schemas.microsoft.com/office/excel/2006/main">
          <x14:cfRule type="dataBar" priority="289" id="{00930051-008A-49B5-BB5E-0024000400E3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S154</xm:sqref>
        </x14:conditionalFormatting>
        <x14:conditionalFormatting xmlns:xm="http://schemas.microsoft.com/office/excel/2006/main">
          <x14:cfRule type="dataBar" priority="288" id="{00FA00E3-0028-4AF8-A0F4-00EC00E30051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S154</xm:sqref>
        </x14:conditionalFormatting>
        <x14:conditionalFormatting xmlns:xm="http://schemas.microsoft.com/office/excel/2006/main">
          <x14:cfRule type="dataBar" priority="287" id="{001E0070-0047-4FA5-A844-004400B80002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S154</xm:sqref>
        </x14:conditionalFormatting>
        <x14:conditionalFormatting xmlns:xm="http://schemas.microsoft.com/office/excel/2006/main">
          <x14:cfRule type="dataBar" priority="286" id="{00D70096-00C6-48F4-8DFC-000A00D4008C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S154</xm:sqref>
        </x14:conditionalFormatting>
        <x14:conditionalFormatting xmlns:xm="http://schemas.microsoft.com/office/excel/2006/main">
          <x14:cfRule type="dataBar" priority="285" id="{00950012-00C1-4444-BC6D-007000BA00CA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S154</xm:sqref>
        </x14:conditionalFormatting>
        <x14:conditionalFormatting xmlns:xm="http://schemas.microsoft.com/office/excel/2006/main">
          <x14:cfRule type="dataBar" priority="284" id="{00290097-000A-4626-A0B0-002700FE00A4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S154</xm:sqref>
        </x14:conditionalFormatting>
        <x14:conditionalFormatting xmlns:xm="http://schemas.microsoft.com/office/excel/2006/main">
          <x14:cfRule type="dataBar" priority="283" id="{00AF0085-0064-4823-9091-00F400DB00C2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S154</xm:sqref>
        </x14:conditionalFormatting>
        <x14:conditionalFormatting xmlns:xm="http://schemas.microsoft.com/office/excel/2006/main">
          <x14:cfRule type="dataBar" priority="282" id="{00200003-002C-4F55-B901-0095008F0038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S154</xm:sqref>
        </x14:conditionalFormatting>
        <x14:conditionalFormatting xmlns:xm="http://schemas.microsoft.com/office/excel/2006/main">
          <x14:cfRule type="dataBar" priority="281" id="{00DA00C0-00B2-4835-9D22-009F007400E6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S154</xm:sqref>
        </x14:conditionalFormatting>
        <x14:conditionalFormatting xmlns:xm="http://schemas.microsoft.com/office/excel/2006/main">
          <x14:cfRule type="dataBar" priority="280" id="{00B30000-000E-4DF1-ABF3-007700E700B0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S154</xm:sqref>
        </x14:conditionalFormatting>
        <x14:conditionalFormatting xmlns:xm="http://schemas.microsoft.com/office/excel/2006/main">
          <x14:cfRule type="dataBar" priority="279" id="{009000BC-009F-4358-8CD5-001A00F400EA}">
            <x14:dataBar maxLength="90" minLength="10" axisPosition="automatic" direction="context">
              <x14:cfvo type="min"/>
              <x14:cfvo type="max"/>
              <x14:fillColor rgb="FF63C384"/>
            </x14:dataBar>
          </x14:cfRule>
          <xm:sqref>N154</xm:sqref>
        </x14:conditionalFormatting>
        <x14:conditionalFormatting xmlns:xm="http://schemas.microsoft.com/office/excel/2006/main">
          <x14:cfRule type="dataBar" priority="278" id="{006400A4-00C0-417D-B968-00BD0051002F}">
            <x14:dataBar maxLength="90" minLength="10" axisPosition="automatic" direction="context">
              <x14:cfvo type="num">
                <xm:f>0</xm:f>
              </x14:cfvo>
              <x14:cfvo type="max"/>
              <x14:fillColor rgb="FF638EC6"/>
            </x14:dataBar>
          </x14:cfRule>
          <xm:sqref>N154</xm:sqref>
        </x14:conditionalFormatting>
        <x14:conditionalFormatting xmlns:xm="http://schemas.microsoft.com/office/excel/2006/main">
          <x14:cfRule type="dataBar" priority="277" id="{00A60044-004F-46F6-AC11-008F00440034}">
            <x14:dataBar maxLength="90" minLength="10" axisPosition="automatic" direction="context">
              <x14:cfvo type="min"/>
              <x14:cfvo type="max"/>
              <x14:fillColor rgb="FFFF555A"/>
            </x14:dataBar>
          </x14:cfRule>
          <xm:sqref>F154</xm:sqref>
        </x14:conditionalFormatting>
        <x14:conditionalFormatting xmlns:xm="http://schemas.microsoft.com/office/excel/2006/main">
          <x14:cfRule type="dataBar" priority="276" id="{00B300DC-007D-4EC9-82E1-007D00BB0037}">
            <x14:dataBar maxLength="90" minLength="10" axisPosition="automatic" direction="context">
              <x14:cfvo type="num">
                <xm:f>0</xm:f>
              </x14:cfvo>
              <x14:cfvo type="max"/>
              <x14:fillColor rgb="FF638EC6"/>
            </x14:dataBar>
          </x14:cfRule>
          <xm:sqref>F154</xm:sqref>
        </x14:conditionalFormatting>
        <x14:conditionalFormatting xmlns:xm="http://schemas.microsoft.com/office/excel/2006/main">
          <x14:cfRule type="dataBar" priority="275" id="{00C5005A-007C-4796-B7DB-00C000F60071}">
            <x14:dataBar maxLength="90" minLength="10" axisPosition="automatic" direction="context">
              <x14:cfvo type="num">
                <xm:f>0</xm:f>
              </x14:cfvo>
              <x14:cfvo type="max"/>
              <x14:fillColor rgb="FFFF1515"/>
            </x14:dataBar>
          </x14:cfRule>
          <xm:sqref>F154</xm:sqref>
        </x14:conditionalFormatting>
        <x14:conditionalFormatting xmlns:xm="http://schemas.microsoft.com/office/excel/2006/main">
          <x14:cfRule type="dataBar" priority="274" id="{000C00AF-00EE-44D7-A6AD-0049001700CE}">
            <x14:dataBar maxLength="90" minLength="10" axisPosition="automatic" direction="context">
              <x14:cfvo type="num">
                <xm:f>0</xm:f>
              </x14:cfvo>
              <x14:cfvo type="max"/>
              <x14:fillColor rgb="FFFF555A"/>
            </x14:dataBar>
          </x14:cfRule>
          <xm:sqref>F154</xm:sqref>
        </x14:conditionalFormatting>
        <x14:conditionalFormatting xmlns:xm="http://schemas.microsoft.com/office/excel/2006/main">
          <x14:cfRule type="dataBar" priority="273" id="{00C500CE-00BA-418E-86F4-0076003E0032}">
            <x14:dataBar maxLength="90" minLength="10" axisPosition="automatic" direction="context">
              <x14:cfvo type="min"/>
              <x14:cfvo type="max"/>
              <x14:fillColor rgb="FFFF555A"/>
            </x14:dataBar>
          </x14:cfRule>
          <xm:sqref>F154</xm:sqref>
        </x14:conditionalFormatting>
        <x14:conditionalFormatting xmlns:xm="http://schemas.microsoft.com/office/excel/2006/main">
          <x14:cfRule type="dataBar" priority="272" id="{003B00F2-00C9-4AC9-9D39-00ED004C0075}">
            <x14:dataBar maxLength="90" minLength="10" axisPosition="automatic" direction="context">
              <x14:cfvo type="min"/>
              <x14:cfvo type="max"/>
              <x14:fillColor rgb="FF63C384"/>
            </x14:dataBar>
          </x14:cfRule>
          <xm:sqref>N154</xm:sqref>
        </x14:conditionalFormatting>
        <x14:conditionalFormatting xmlns:xm="http://schemas.microsoft.com/office/excel/2006/main">
          <x14:cfRule type="dataBar" priority="271" id="{00FD001B-005E-4A2F-B7A8-000400B200C0}">
            <x14:dataBar maxLength="90" minLength="10" axisPosition="automatic" direction="context">
              <x14:cfvo type="min"/>
              <x14:cfvo type="max"/>
              <x14:fillColor rgb="FFFFB628"/>
            </x14:dataBar>
          </x14:cfRule>
          <xm:sqref>S154</xm:sqref>
        </x14:conditionalFormatting>
        <x14:conditionalFormatting xmlns:xm="http://schemas.microsoft.com/office/excel/2006/main">
          <x14:cfRule type="dataBar" priority="270" id="{00840059-00F8-4752-B437-004800640075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T154</xm:sqref>
        </x14:conditionalFormatting>
        <x14:conditionalFormatting xmlns:xm="http://schemas.microsoft.com/office/excel/2006/main">
          <x14:cfRule type="dataBar" priority="269" id="{00FE0089-007B-4289-A6BD-00AC00CF0036}">
            <x14:dataBar maxLength="90" minLength="10" axisPosition="automatic" direction="context">
              <x14:cfvo type="num">
                <xm:f>0</xm:f>
              </x14:cfvo>
              <x14:cfvo type="max"/>
              <x14:fillColor rgb="FF638EC6"/>
            </x14:dataBar>
          </x14:cfRule>
          <xm:sqref>T154</xm:sqref>
        </x14:conditionalFormatting>
        <x14:conditionalFormatting xmlns:xm="http://schemas.microsoft.com/office/excel/2006/main">
          <x14:cfRule type="dataBar" priority="267" id="{000000CB-002E-4D40-8CF4-003C007700C7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N154</xm:sqref>
        </x14:conditionalFormatting>
        <x14:conditionalFormatting xmlns:xm="http://schemas.microsoft.com/office/excel/2006/main">
          <x14:cfRule type="dataBar" priority="265" id="{00A4000D-0071-492E-81B9-005600D000E1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U154</xm:sqref>
        </x14:conditionalFormatting>
        <x14:conditionalFormatting xmlns:xm="http://schemas.microsoft.com/office/excel/2006/main">
          <x14:cfRule type="dataBar" priority="264" id="{008400AD-004A-4C4D-A6A9-00F1005500D6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U154</xm:sqref>
        </x14:conditionalFormatting>
        <x14:conditionalFormatting xmlns:xm="http://schemas.microsoft.com/office/excel/2006/main">
          <x14:cfRule type="dataBar" priority="262" id="{009B00A0-00D2-45D4-9D78-004800590019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U155</xm:sqref>
        </x14:conditionalFormatting>
        <x14:conditionalFormatting xmlns:xm="http://schemas.microsoft.com/office/excel/2006/main">
          <x14:cfRule type="dataBar" priority="261" id="{00EC008A-00F7-4F0B-87DD-002C00DC0049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U155</xm:sqref>
        </x14:conditionalFormatting>
        <x14:conditionalFormatting xmlns:xm="http://schemas.microsoft.com/office/excel/2006/main">
          <x14:cfRule type="dataBar" priority="260" id="{0028009A-0009-4052-85A1-00FC00E000C7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U155</xm:sqref>
        </x14:conditionalFormatting>
        <x14:conditionalFormatting xmlns:xm="http://schemas.microsoft.com/office/excel/2006/main">
          <x14:cfRule type="dataBar" priority="259" id="{00EE0030-00FD-4CD5-8019-0050008B005E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258" id="{009300C7-0030-4E4A-A5FB-009000780057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F155</xm:sqref>
        </x14:conditionalFormatting>
        <x14:conditionalFormatting xmlns:xm="http://schemas.microsoft.com/office/excel/2006/main">
          <x14:cfRule type="dataBar" priority="257" id="{00B20003-00A7-4BEA-9EB7-001D00F3000C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N155</xm:sqref>
        </x14:conditionalFormatting>
        <x14:conditionalFormatting xmlns:xm="http://schemas.microsoft.com/office/excel/2006/main">
          <x14:cfRule type="dataBar" priority="256" id="{00670001-0042-4108-9EAB-00A800FF0087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T155</xm:sqref>
        </x14:conditionalFormatting>
        <x14:conditionalFormatting xmlns:xm="http://schemas.microsoft.com/office/excel/2006/main">
          <x14:cfRule type="dataBar" priority="255" id="{00A60090-0043-404F-A700-0013005200CD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T155</xm:sqref>
        </x14:conditionalFormatting>
        <x14:conditionalFormatting xmlns:xm="http://schemas.microsoft.com/office/excel/2006/main">
          <x14:cfRule type="dataBar" priority="254" id="{005C0099-0099-4950-A2FC-00D2002000BB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T155</xm:sqref>
        </x14:conditionalFormatting>
        <x14:conditionalFormatting xmlns:xm="http://schemas.microsoft.com/office/excel/2006/main">
          <x14:cfRule type="dataBar" priority="253" id="{00E50028-0077-4D5D-BD87-007400B6008C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U155</xm:sqref>
        </x14:conditionalFormatting>
        <x14:conditionalFormatting xmlns:xm="http://schemas.microsoft.com/office/excel/2006/main">
          <x14:cfRule type="dataBar" priority="252" id="{00DF00E6-00C0-4E12-BE89-00BE00D00077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U155</xm:sqref>
        </x14:conditionalFormatting>
        <x14:conditionalFormatting xmlns:xm="http://schemas.microsoft.com/office/excel/2006/main">
          <x14:cfRule type="dataBar" priority="251" id="{00F80008-0011-433C-92AC-008100F90012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250" id="{00FF00DE-0097-4373-B44C-00FE00DA0031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F155</xm:sqref>
        </x14:conditionalFormatting>
        <x14:conditionalFormatting xmlns:xm="http://schemas.microsoft.com/office/excel/2006/main">
          <x14:cfRule type="dataBar" priority="249" id="{00400090-009E-49C9-821F-00750052004E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N155</xm:sqref>
        </x14:conditionalFormatting>
        <x14:conditionalFormatting xmlns:xm="http://schemas.microsoft.com/office/excel/2006/main">
          <x14:cfRule type="dataBar" priority="248" id="{00210060-00A6-480F-BAFD-00C0004F006E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247" id="{002500D4-008A-46F3-BB00-008200E200A0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F155</xm:sqref>
        </x14:conditionalFormatting>
        <x14:conditionalFormatting xmlns:xm="http://schemas.microsoft.com/office/excel/2006/main">
          <x14:cfRule type="dataBar" priority="246" id="{00B800D6-0084-436A-84AE-00A600D20064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N155</xm:sqref>
        </x14:conditionalFormatting>
        <x14:conditionalFormatting xmlns:xm="http://schemas.microsoft.com/office/excel/2006/main">
          <x14:cfRule type="dataBar" priority="245" id="{005800E0-00F4-4CEA-BF95-0063004C00D6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F155</xm:sqref>
        </x14:conditionalFormatting>
        <x14:conditionalFormatting xmlns:xm="http://schemas.microsoft.com/office/excel/2006/main">
          <x14:cfRule type="dataBar" priority="244" id="{00E70073-003A-4B47-BF0A-00D900A00043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N155</xm:sqref>
        </x14:conditionalFormatting>
        <x14:conditionalFormatting xmlns:xm="http://schemas.microsoft.com/office/excel/2006/main">
          <x14:cfRule type="dataBar" priority="243" id="{00E40034-0098-4C80-9B71-00C300F5001C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242" id="{0036008C-0092-485F-9DAA-00BC00DB006A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241" id="{00270021-00B6-4CE4-AD91-00D600F000DE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F155</xm:sqref>
        </x14:conditionalFormatting>
        <x14:conditionalFormatting xmlns:xm="http://schemas.microsoft.com/office/excel/2006/main">
          <x14:cfRule type="dataBar" priority="240" id="{00500085-00EC-4E34-935A-007900FA0057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N155</xm:sqref>
        </x14:conditionalFormatting>
        <x14:conditionalFormatting xmlns:xm="http://schemas.microsoft.com/office/excel/2006/main">
          <x14:cfRule type="dataBar" priority="239" id="{004B0046-0094-4BE0-86EE-0060004800E1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238" id="{00730005-00AC-4194-90D0-001F0002006F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237" id="{00E800A7-005C-4991-8F86-003B00DB009C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236" id="{00ED00DC-000B-4C0C-8783-008600200057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235" id="{0040007F-0095-4AD0-A28E-004F003C0054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234" id="{00E7009E-0014-4E4B-952C-000F009F0097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233" id="{008D0069-000E-4C36-9D3E-006700DA00EF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232" id="{004F0027-00F5-42FB-98EC-001900EF002E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231" id="{00A20041-0003-440B-99C1-008300760031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230" id="{005300D4-006C-4064-AF69-00CE005000A2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229" id="{0077000A-003D-4C49-BEA0-00D4003B0046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T155</xm:sqref>
        </x14:conditionalFormatting>
        <x14:conditionalFormatting xmlns:xm="http://schemas.microsoft.com/office/excel/2006/main">
          <x14:cfRule type="dataBar" priority="228" id="{00490076-00D8-4318-9E7D-00B10023002C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T155</xm:sqref>
        </x14:conditionalFormatting>
        <x14:conditionalFormatting xmlns:xm="http://schemas.microsoft.com/office/excel/2006/main">
          <x14:cfRule type="dataBar" priority="227" id="{009F00FD-008C-45FD-855B-004B00FA004F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U155</xm:sqref>
        </x14:conditionalFormatting>
        <x14:conditionalFormatting xmlns:xm="http://schemas.microsoft.com/office/excel/2006/main">
          <x14:cfRule type="dataBar" priority="226" id="{007E0095-0060-4237-A751-008C00CB00DD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U155</xm:sqref>
        </x14:conditionalFormatting>
        <x14:conditionalFormatting xmlns:xm="http://schemas.microsoft.com/office/excel/2006/main">
          <x14:cfRule type="dataBar" priority="225" id="{00D2005B-0005-43A6-9399-00FB0069009B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224" id="{0033008B-0070-4CE4-ADDA-00FA000C0029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223" id="{003F0006-008B-4362-A562-008E00D6006A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222" id="{008D000B-0016-40F2-9860-008100920056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221" id="{003500F7-00CC-440C-9018-00710006007F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220" id="{00CC00F0-0001-4662-BF77-007600F100D8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219" id="{005F0079-003A-4109-8E19-0034007E00D7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218" id="{008F004D-00F8-4F10-96F4-00ED00FA00CD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217" id="{00630040-00AC-428B-A59A-00B400BE00FF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216" id="{008F00CC-0011-48B8-8274-002000B6009D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215" id="{000700F8-0043-493A-AD42-00C90000008F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214" id="{00DD00DD-0014-47DE-B030-00C700E5003D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213" id="{00DB00C1-0028-483E-9E95-00E8009200D2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212" id="{00820026-00A7-46F2-9C96-00DB00E100DE}">
            <x14:dataBar maxLength="90" minLength="10" axisPosition="automatic" direction="context">
              <x14:cfvo type="min"/>
              <x14:cfvo type="max"/>
              <x14:fillColor rgb="FF63C384"/>
            </x14:dataBar>
          </x14:cfRule>
          <xm:sqref>N155</xm:sqref>
        </x14:conditionalFormatting>
        <x14:conditionalFormatting xmlns:xm="http://schemas.microsoft.com/office/excel/2006/main">
          <x14:cfRule type="dataBar" priority="211" id="{007000E9-0013-4832-B8CE-001B00EF00A7}">
            <x14:dataBar maxLength="90" minLength="10" axisPosition="automatic" direction="context">
              <x14:cfvo type="num">
                <xm:f>0</xm:f>
              </x14:cfvo>
              <x14:cfvo type="max"/>
              <x14:fillColor rgb="FF638EC6"/>
            </x14:dataBar>
          </x14:cfRule>
          <xm:sqref>N155</xm:sqref>
        </x14:conditionalFormatting>
        <x14:conditionalFormatting xmlns:xm="http://schemas.microsoft.com/office/excel/2006/main">
          <x14:cfRule type="dataBar" priority="210" id="{009600B4-009B-47C4-869F-00BE00B000F9}">
            <x14:dataBar maxLength="90" minLength="10" axisPosition="automatic" direction="context">
              <x14:cfvo type="min"/>
              <x14:cfvo type="max"/>
              <x14:fillColor rgb="FFFF555A"/>
            </x14:dataBar>
          </x14:cfRule>
          <xm:sqref>F155</xm:sqref>
        </x14:conditionalFormatting>
        <x14:conditionalFormatting xmlns:xm="http://schemas.microsoft.com/office/excel/2006/main">
          <x14:cfRule type="dataBar" priority="209" id="{00A20047-00B5-4CC4-B094-00F4009C002D}">
            <x14:dataBar maxLength="90" minLength="10" axisPosition="automatic" direction="context">
              <x14:cfvo type="num">
                <xm:f>0</xm:f>
              </x14:cfvo>
              <x14:cfvo type="max"/>
              <x14:fillColor rgb="FF638EC6"/>
            </x14:dataBar>
          </x14:cfRule>
          <xm:sqref>F155</xm:sqref>
        </x14:conditionalFormatting>
        <x14:conditionalFormatting xmlns:xm="http://schemas.microsoft.com/office/excel/2006/main">
          <x14:cfRule type="dataBar" priority="208" id="{0070000B-005F-46C9-A5E8-003900220096}">
            <x14:dataBar maxLength="90" minLength="10" axisPosition="automatic" direction="context">
              <x14:cfvo type="num">
                <xm:f>0</xm:f>
              </x14:cfvo>
              <x14:cfvo type="max"/>
              <x14:fillColor rgb="FFFF1515"/>
            </x14:dataBar>
          </x14:cfRule>
          <xm:sqref>F155</xm:sqref>
        </x14:conditionalFormatting>
        <x14:conditionalFormatting xmlns:xm="http://schemas.microsoft.com/office/excel/2006/main">
          <x14:cfRule type="dataBar" priority="207" id="{003200F1-003A-4C39-827A-00510026004E}">
            <x14:dataBar maxLength="90" minLength="10" axisPosition="automatic" direction="context">
              <x14:cfvo type="num">
                <xm:f>0</xm:f>
              </x14:cfvo>
              <x14:cfvo type="max"/>
              <x14:fillColor rgb="FFFF555A"/>
            </x14:dataBar>
          </x14:cfRule>
          <xm:sqref>F155</xm:sqref>
        </x14:conditionalFormatting>
        <x14:conditionalFormatting xmlns:xm="http://schemas.microsoft.com/office/excel/2006/main">
          <x14:cfRule type="dataBar" priority="206" id="{00780045-00BD-404A-96FE-000900AF00EA}">
            <x14:dataBar maxLength="90" minLength="10" axisPosition="automatic" direction="context">
              <x14:cfvo type="min"/>
              <x14:cfvo type="max"/>
              <x14:fillColor rgb="FFFF555A"/>
            </x14:dataBar>
          </x14:cfRule>
          <xm:sqref>F155</xm:sqref>
        </x14:conditionalFormatting>
        <x14:conditionalFormatting xmlns:xm="http://schemas.microsoft.com/office/excel/2006/main">
          <x14:cfRule type="dataBar" priority="205" id="{008400C0-002A-44EE-B187-00E300390059}">
            <x14:dataBar maxLength="90" minLength="10" axisPosition="automatic" direction="context">
              <x14:cfvo type="min"/>
              <x14:cfvo type="max"/>
              <x14:fillColor rgb="FF63C384"/>
            </x14:dataBar>
          </x14:cfRule>
          <xm:sqref>N155</xm:sqref>
        </x14:conditionalFormatting>
        <x14:conditionalFormatting xmlns:xm="http://schemas.microsoft.com/office/excel/2006/main">
          <x14:cfRule type="dataBar" priority="204" id="{00A60085-0018-4F58-A30D-000D00F9004C}">
            <x14:dataBar maxLength="90" minLength="10" axisPosition="automatic" direction="context">
              <x14:cfvo type="min"/>
              <x14:cfvo type="max"/>
              <x14:fillColor rgb="FFFFB628"/>
            </x14:dataBar>
          </x14:cfRule>
          <xm:sqref>S155</xm:sqref>
        </x14:conditionalFormatting>
        <x14:conditionalFormatting xmlns:xm="http://schemas.microsoft.com/office/excel/2006/main">
          <x14:cfRule type="dataBar" priority="203" id="{00FC00AA-0018-4C11-B27F-002700D7003E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T155</xm:sqref>
        </x14:conditionalFormatting>
        <x14:conditionalFormatting xmlns:xm="http://schemas.microsoft.com/office/excel/2006/main">
          <x14:cfRule type="dataBar" priority="202" id="{00CB008A-00EF-4371-A910-00AA00B400C7}">
            <x14:dataBar maxLength="90" minLength="10" axisPosition="automatic" direction="context">
              <x14:cfvo type="num">
                <xm:f>0</xm:f>
              </x14:cfvo>
              <x14:cfvo type="max"/>
              <x14:fillColor rgb="FF638EC6"/>
            </x14:dataBar>
          </x14:cfRule>
          <xm:sqref>T155</xm:sqref>
        </x14:conditionalFormatting>
        <x14:conditionalFormatting xmlns:xm="http://schemas.microsoft.com/office/excel/2006/main">
          <x14:cfRule type="dataBar" priority="201" id="{00E4009B-00A8-4198-8063-00E8006D0028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N155</xm:sqref>
        </x14:conditionalFormatting>
        <x14:conditionalFormatting xmlns:xm="http://schemas.microsoft.com/office/excel/2006/main">
          <x14:cfRule type="dataBar" priority="200" id="{00FF00A0-007F-4BC1-8CE9-00FA00A800A1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U155</xm:sqref>
        </x14:conditionalFormatting>
        <x14:conditionalFormatting xmlns:xm="http://schemas.microsoft.com/office/excel/2006/main">
          <x14:cfRule type="dataBar" priority="199" id="{00A70064-0022-43E0-ADF7-007700C70056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U155</xm:sqref>
        </x14:conditionalFormatting>
        <x14:conditionalFormatting xmlns:xm="http://schemas.microsoft.com/office/excel/2006/main">
          <x14:cfRule type="dataBar" priority="198" id="{00260012-0043-44FE-9E2D-00B9000E00D6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F155</xm:sqref>
        </x14:conditionalFormatting>
        <x14:conditionalFormatting xmlns:xm="http://schemas.microsoft.com/office/excel/2006/main">
          <x14:cfRule type="dataBar" priority="197" id="{0045002D-00D8-4EA3-8F6A-003D00FB00B1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N155</xm:sqref>
        </x14:conditionalFormatting>
        <x14:conditionalFormatting xmlns:xm="http://schemas.microsoft.com/office/excel/2006/main">
          <x14:cfRule type="dataBar" priority="196" id="{00FD0041-00DE-43A7-833C-003E00270080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195" id="{00B0002D-00C9-48DA-AD89-006500B800A6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194" id="{00DB00FC-000A-4B2A-B748-00F800E700D8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F155</xm:sqref>
        </x14:conditionalFormatting>
        <x14:conditionalFormatting xmlns:xm="http://schemas.microsoft.com/office/excel/2006/main">
          <x14:cfRule type="dataBar" priority="193" id="{009200EE-0052-4411-B5FA-002400390005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N155</xm:sqref>
        </x14:conditionalFormatting>
        <x14:conditionalFormatting xmlns:xm="http://schemas.microsoft.com/office/excel/2006/main">
          <x14:cfRule type="dataBar" priority="192" id="{00B1001E-0014-480B-9BD9-00D3002C0079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191" id="{00250058-0064-474D-AA16-0037008300CD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190" id="{00600051-00F7-455A-9530-00FB0050004B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189" id="{004100D4-00F7-45C8-B036-000900760031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188" id="{008900DF-0080-44BC-8D4A-006200A80023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187" id="{00C60075-0089-447B-ABE7-003100160003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186" id="{00990093-008E-4568-9F5A-003C007000D9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185" id="{00B7000D-00B0-4B93-B20B-00DB009C0004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184" id="{00F3009E-00C5-4AEF-8220-00E5006F0058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183" id="{0031001D-00B9-4F58-918D-004300CF00DB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182" id="{00EB002A-00F8-46E7-B264-006400590029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T155</xm:sqref>
        </x14:conditionalFormatting>
        <x14:conditionalFormatting xmlns:xm="http://schemas.microsoft.com/office/excel/2006/main">
          <x14:cfRule type="dataBar" priority="181" id="{000E00DF-00C5-4AB6-8FDC-00B700060094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T155</xm:sqref>
        </x14:conditionalFormatting>
        <x14:conditionalFormatting xmlns:xm="http://schemas.microsoft.com/office/excel/2006/main">
          <x14:cfRule type="dataBar" priority="180" id="{00650017-00C0-4989-B4AE-002200C40034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T155</xm:sqref>
        </x14:conditionalFormatting>
        <x14:conditionalFormatting xmlns:xm="http://schemas.microsoft.com/office/excel/2006/main">
          <x14:cfRule type="dataBar" priority="179" id="{003D0018-00D8-4F13-A320-00BB005A008F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U155</xm:sqref>
        </x14:conditionalFormatting>
        <x14:conditionalFormatting xmlns:xm="http://schemas.microsoft.com/office/excel/2006/main">
          <x14:cfRule type="dataBar" priority="178" id="{00090005-00F9-4175-AE16-00CE007D0032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U155</xm:sqref>
        </x14:conditionalFormatting>
        <x14:conditionalFormatting xmlns:xm="http://schemas.microsoft.com/office/excel/2006/main">
          <x14:cfRule type="dataBar" priority="177" id="{00B600C3-0010-4081-89AA-003100BC00FF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U155</xm:sqref>
        </x14:conditionalFormatting>
        <x14:conditionalFormatting xmlns:xm="http://schemas.microsoft.com/office/excel/2006/main">
          <x14:cfRule type="dataBar" priority="176" id="{003500C3-00F1-4AA6-A130-00DA00E500D5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175" id="{0089009C-0035-4457-B083-001D007F004B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174" id="{00620031-00A8-4563-8A2B-00A3006A00B2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173" id="{0048009C-00DA-4A73-8039-001700620064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172" id="{00B2009B-006A-4467-8BC5-00A6007600C0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171" id="{00A000CA-00AD-46EE-A31A-001100B800E9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170" id="{007900DE-00F9-4E15-AF56-00C8006D0018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169" id="{00900016-00FB-44D0-8050-005F00F5005B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168" id="{0010008B-0091-4A27-BCA2-00F600BD0071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167" id="{006200D8-001A-414A-825D-0050009C004A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166" id="{00F50016-00BB-4299-A8E9-00DD00A00087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165" id="{00E20011-00DA-4371-B32E-00C3007500B1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164" id="{00E200CE-0046-4D98-BD22-00BB00070097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163" id="{00C0008E-00F3-4F39-94C8-001A001E00E2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T155</xm:sqref>
        </x14:conditionalFormatting>
        <x14:conditionalFormatting xmlns:xm="http://schemas.microsoft.com/office/excel/2006/main">
          <x14:cfRule type="dataBar" priority="162" id="{00D80022-0073-4027-B35C-005D006C0093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T155</xm:sqref>
        </x14:conditionalFormatting>
        <x14:conditionalFormatting xmlns:xm="http://schemas.microsoft.com/office/excel/2006/main">
          <x14:cfRule type="dataBar" priority="161" id="{0056003C-006A-4CBF-A1BD-005900E500E8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T155</xm:sqref>
        </x14:conditionalFormatting>
        <x14:conditionalFormatting xmlns:xm="http://schemas.microsoft.com/office/excel/2006/main">
          <x14:cfRule type="dataBar" priority="160" id="{001F00EC-00E2-443D-AA45-001400F70071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U155</xm:sqref>
        </x14:conditionalFormatting>
        <x14:conditionalFormatting xmlns:xm="http://schemas.microsoft.com/office/excel/2006/main">
          <x14:cfRule type="dataBar" priority="159" id="{008D00FA-00DA-48FA-89E2-004C00070001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U155</xm:sqref>
        </x14:conditionalFormatting>
        <x14:conditionalFormatting xmlns:xm="http://schemas.microsoft.com/office/excel/2006/main">
          <x14:cfRule type="dataBar" priority="158" id="{00B30046-00DC-42CA-99B1-00BA00570046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U155</xm:sqref>
        </x14:conditionalFormatting>
        <x14:conditionalFormatting xmlns:xm="http://schemas.microsoft.com/office/excel/2006/main">
          <x14:cfRule type="dataBar" priority="157" id="{007C00D8-0048-410A-8913-000C00A000C2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156" id="{00D0009C-0072-42CF-B37F-008600EC003F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155" id="{00090001-0004-44C2-8B49-000A00E80079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154" id="{005A00D9-00BD-4698-B712-007700BB005C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153" id="{006E00E4-00B3-452E-BEE1-00DB00E6005D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152" id="{0056003F-0086-4ADC-BE07-00EA006A00A0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151" id="{00A9003A-00CA-464D-8E3F-00C90049006E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150" id="{00CC0078-00A9-486E-801B-00D000B10086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149" id="{00A7002C-0018-4107-8642-00340053008F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148" id="{000B00B4-0055-489D-979B-001600160082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147" id="{00CE0095-0076-4A48-AB41-003C007E009E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146" id="{009E0062-0064-420E-8078-00EC00650027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145" id="{00300066-0088-49AE-879E-005C009600B8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144" id="{006F0047-0043-46D1-A549-008E007C009E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143" id="{002100D8-00EF-41FA-9A3D-005A008300C1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F155</xm:sqref>
        </x14:conditionalFormatting>
        <x14:conditionalFormatting xmlns:xm="http://schemas.microsoft.com/office/excel/2006/main">
          <x14:cfRule type="dataBar" priority="142" id="{00E10001-0019-4B29-B997-00B700C40054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N155</xm:sqref>
        </x14:conditionalFormatting>
        <x14:conditionalFormatting xmlns:xm="http://schemas.microsoft.com/office/excel/2006/main">
          <x14:cfRule type="dataBar" priority="141" id="{0083008D-0006-4EE5-804F-00A0005D00AF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140" id="{002000C2-0006-4B5F-AB97-00BF001C0082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F155</xm:sqref>
        </x14:conditionalFormatting>
        <x14:conditionalFormatting xmlns:xm="http://schemas.microsoft.com/office/excel/2006/main">
          <x14:cfRule type="dataBar" priority="139" id="{006000A5-0001-420C-8DE7-0029001C0089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N155</xm:sqref>
        </x14:conditionalFormatting>
        <x14:conditionalFormatting xmlns:xm="http://schemas.microsoft.com/office/excel/2006/main">
          <x14:cfRule type="dataBar" priority="138" id="{002500D0-00C4-4076-AAE6-00C3005C00C6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137" id="{00F8008A-0010-4276-BCFD-008300700021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F155</xm:sqref>
        </x14:conditionalFormatting>
        <x14:conditionalFormatting xmlns:xm="http://schemas.microsoft.com/office/excel/2006/main">
          <x14:cfRule type="dataBar" priority="136" id="{00D800AB-000D-454F-9DAC-004B0049002C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N155</xm:sqref>
        </x14:conditionalFormatting>
        <x14:conditionalFormatting xmlns:xm="http://schemas.microsoft.com/office/excel/2006/main">
          <x14:cfRule type="dataBar" priority="135" id="{009C0096-0001-46D6-B89D-005C00D50029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134" id="{003F00F9-005B-461E-BC67-008B0059005D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F155</xm:sqref>
        </x14:conditionalFormatting>
        <x14:conditionalFormatting xmlns:xm="http://schemas.microsoft.com/office/excel/2006/main">
          <x14:cfRule type="dataBar" priority="133" id="{00B90039-00D0-4A8C-A201-0046007C00CB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N155</xm:sqref>
        </x14:conditionalFormatting>
        <x14:conditionalFormatting xmlns:xm="http://schemas.microsoft.com/office/excel/2006/main">
          <x14:cfRule type="dataBar" priority="132" id="{00BB0040-00F0-4E91-9097-004400840019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131" id="{00FB0038-0086-459D-8E76-00F0009C00C5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F155</xm:sqref>
        </x14:conditionalFormatting>
        <x14:conditionalFormatting xmlns:xm="http://schemas.microsoft.com/office/excel/2006/main">
          <x14:cfRule type="dataBar" priority="130" id="{00EA003D-00C7-4D1F-8DFB-00CE00C300E0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N155</xm:sqref>
        </x14:conditionalFormatting>
        <x14:conditionalFormatting xmlns:xm="http://schemas.microsoft.com/office/excel/2006/main">
          <x14:cfRule type="dataBar" priority="129" id="{006C0089-0065-4A53-B01D-002C00830043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128" id="{00820036-0015-4ABD-8EB8-00D400CD00EA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F155</xm:sqref>
        </x14:conditionalFormatting>
        <x14:conditionalFormatting xmlns:xm="http://schemas.microsoft.com/office/excel/2006/main">
          <x14:cfRule type="dataBar" priority="127" id="{008D004A-0056-4AAD-8E22-001E002700B1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N155</xm:sqref>
        </x14:conditionalFormatting>
        <x14:conditionalFormatting xmlns:xm="http://schemas.microsoft.com/office/excel/2006/main">
          <x14:cfRule type="dataBar" priority="126" id="{00230023-00C9-40E0-AA57-008B00180019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S155</xm:sqref>
        </x14:conditionalFormatting>
        <x14:conditionalFormatting xmlns:xm="http://schemas.microsoft.com/office/excel/2006/main">
          <x14:cfRule type="dataBar" priority="125" id="{009E000C-007C-4DB4-B7DB-00F3004F004C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F155</xm:sqref>
        </x14:conditionalFormatting>
        <x14:conditionalFormatting xmlns:xm="http://schemas.microsoft.com/office/excel/2006/main">
          <x14:cfRule type="dataBar" priority="124" id="{00A7008A-0050-4AF6-B964-001A00E1004A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N155</xm:sqref>
        </x14:conditionalFormatting>
        <x14:conditionalFormatting xmlns:xm="http://schemas.microsoft.com/office/excel/2006/main">
          <x14:cfRule type="dataBar" priority="123" id="{001700B2-0040-44FE-AC41-00F600A80077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U155</xm:sqref>
        </x14:conditionalFormatting>
        <x14:conditionalFormatting xmlns:xm="http://schemas.microsoft.com/office/excel/2006/main">
          <x14:cfRule type="dataBar" priority="122" id="{0053005C-0073-4307-9A2C-0050003E0059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U155</xm:sqref>
        </x14:conditionalFormatting>
        <x14:conditionalFormatting xmlns:xm="http://schemas.microsoft.com/office/excel/2006/main">
          <x14:cfRule type="dataBar" priority="121" id="{00160015-0000-46CC-8313-00F3005000C2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U155</xm:sqref>
        </x14:conditionalFormatting>
        <x14:conditionalFormatting xmlns:xm="http://schemas.microsoft.com/office/excel/2006/main">
          <x14:cfRule type="dataBar" priority="120" id="{00F7007E-00A8-4C7F-9E9B-001E002F00E1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U155</xm:sqref>
        </x14:conditionalFormatting>
        <x14:conditionalFormatting xmlns:xm="http://schemas.microsoft.com/office/excel/2006/main">
          <x14:cfRule type="dataBar" priority="119" id="{000E0065-00CE-4EB5-A16F-001C00750050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U155</xm:sqref>
        </x14:conditionalFormatting>
        <x14:conditionalFormatting xmlns:xm="http://schemas.microsoft.com/office/excel/2006/main">
          <x14:cfRule type="dataBar" priority="118" id="{00EA0067-00A4-4A28-8D38-004700B5000C}">
            <x14:dataBar maxLength="90" minLength="10" axisPosition="automatic" direction="context">
              <x14:cfvo type="min"/>
              <x14:cfvo type="max"/>
              <x14:fillColor rgb="FF63C384"/>
            </x14:dataBar>
          </x14:cfRule>
          <xm:sqref>N155</xm:sqref>
        </x14:conditionalFormatting>
        <x14:conditionalFormatting xmlns:xm="http://schemas.microsoft.com/office/excel/2006/main">
          <x14:cfRule type="dataBar" priority="117" id="{003B00D7-0076-4E5A-B90B-0061005A00F4}">
            <x14:dataBar maxLength="90" minLength="10" axisPosition="automatic" direction="context">
              <x14:cfvo type="num">
                <xm:f>0</xm:f>
              </x14:cfvo>
              <x14:cfvo type="max"/>
              <x14:fillColor rgb="FF638EC6"/>
            </x14:dataBar>
          </x14:cfRule>
          <xm:sqref>N155</xm:sqref>
        </x14:conditionalFormatting>
        <x14:conditionalFormatting xmlns:xm="http://schemas.microsoft.com/office/excel/2006/main">
          <x14:cfRule type="dataBar" priority="116" id="{00ED001B-0091-439D-8F18-001200F500A5}">
            <x14:dataBar maxLength="90" minLength="10" axisPosition="automatic" direction="context">
              <x14:cfvo type="min"/>
              <x14:cfvo type="max"/>
              <x14:fillColor rgb="FFFF555A"/>
            </x14:dataBar>
          </x14:cfRule>
          <xm:sqref>F155</xm:sqref>
        </x14:conditionalFormatting>
        <x14:conditionalFormatting xmlns:xm="http://schemas.microsoft.com/office/excel/2006/main">
          <x14:cfRule type="dataBar" priority="115" id="{001200CA-00A0-4E06-BFE2-003B00370006}">
            <x14:dataBar maxLength="90" minLength="10" axisPosition="automatic" direction="context">
              <x14:cfvo type="num">
                <xm:f>0</xm:f>
              </x14:cfvo>
              <x14:cfvo type="max"/>
              <x14:fillColor rgb="FFFF555A"/>
            </x14:dataBar>
          </x14:cfRule>
          <xm:sqref>F155</xm:sqref>
        </x14:conditionalFormatting>
        <x14:conditionalFormatting xmlns:xm="http://schemas.microsoft.com/office/excel/2006/main">
          <x14:cfRule type="dataBar" priority="114" id="{00A90069-008D-48B5-A42F-002600110056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F155</xm:sqref>
        </x14:conditionalFormatting>
        <x14:conditionalFormatting xmlns:xm="http://schemas.microsoft.com/office/excel/2006/main">
          <x14:cfRule type="dataBar" priority="113" id="{00E5007D-0041-4A40-8B9A-006A00CA00E7}">
            <x14:dataBar maxLength="90" minLength="10" axisPosition="automatic" direction="context">
              <x14:cfvo type="min"/>
              <x14:cfvo type="max"/>
              <x14:fillColor rgb="FF63C384"/>
            </x14:dataBar>
          </x14:cfRule>
          <xm:sqref>N155</xm:sqref>
        </x14:conditionalFormatting>
        <x14:conditionalFormatting xmlns:xm="http://schemas.microsoft.com/office/excel/2006/main">
          <x14:cfRule type="dataBar" priority="112" id="{002700C0-0025-4721-AEBC-000900900036}">
            <x14:dataBar maxLength="90" minLength="10" axisPosition="automatic" direction="context">
              <x14:cfvo type="min"/>
              <x14:cfvo type="max"/>
              <x14:fillColor rgb="FFFFB628"/>
            </x14:dataBar>
          </x14:cfRule>
          <xm:sqref>S155</xm:sqref>
        </x14:conditionalFormatting>
        <x14:conditionalFormatting xmlns:xm="http://schemas.microsoft.com/office/excel/2006/main">
          <x14:cfRule type="dataBar" priority="111" id="{00F10075-00AC-429B-A1D7-00E200FB005C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T155</xm:sqref>
        </x14:conditionalFormatting>
        <x14:conditionalFormatting xmlns:xm="http://schemas.microsoft.com/office/excel/2006/main">
          <x14:cfRule type="dataBar" priority="110" id="{000F001D-00D9-4728-84EE-0070009B00BE}">
            <x14:dataBar maxLength="90" minLength="10" axisPosition="automatic" direction="context">
              <x14:cfvo type="num">
                <xm:f>0</xm:f>
              </x14:cfvo>
              <x14:cfvo type="max"/>
              <x14:fillColor rgb="FF008AEF"/>
            </x14:dataBar>
          </x14:cfRule>
          <xm:sqref>T155</xm:sqref>
        </x14:conditionalFormatting>
        <x14:conditionalFormatting xmlns:xm="http://schemas.microsoft.com/office/excel/2006/main">
          <x14:cfRule type="dataBar" priority="109" id="{00FE00C8-00CF-4EC8-847C-0051008700A3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U155</xm:sqref>
        </x14:conditionalFormatting>
        <x14:conditionalFormatting xmlns:xm="http://schemas.microsoft.com/office/excel/2006/main">
          <x14:cfRule type="dataBar" priority="104" id="{005300A7-0091-49F6-992C-00D100D1005F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F166</xm:sqref>
        </x14:conditionalFormatting>
        <x14:conditionalFormatting xmlns:xm="http://schemas.microsoft.com/office/excel/2006/main">
          <x14:cfRule type="dataBar" priority="103" id="{00F40019-002A-4836-AB2A-00B50089008C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F166</xm:sqref>
        </x14:conditionalFormatting>
        <x14:conditionalFormatting xmlns:xm="http://schemas.microsoft.com/office/excel/2006/main">
          <x14:cfRule type="dataBar" priority="102" id="{000500FD-0084-4262-8EFA-0067008900C5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F167</xm:sqref>
        </x14:conditionalFormatting>
        <x14:conditionalFormatting xmlns:xm="http://schemas.microsoft.com/office/excel/2006/main">
          <x14:cfRule type="dataBar" priority="101" id="{007C00D1-00B0-4C1D-83C6-00E8004E000B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S166</xm:sqref>
        </x14:conditionalFormatting>
        <x14:conditionalFormatting xmlns:xm="http://schemas.microsoft.com/office/excel/2006/main">
          <x14:cfRule type="dataBar" priority="100" id="{00BF00CB-00A3-4D33-872A-00FC00A20081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F166</xm:sqref>
        </x14:conditionalFormatting>
        <x14:conditionalFormatting xmlns:xm="http://schemas.microsoft.com/office/excel/2006/main">
          <x14:cfRule type="dataBar" priority="99" id="{00700057-0000-4FAB-A43D-00E70080002D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N166</xm:sqref>
        </x14:conditionalFormatting>
        <x14:conditionalFormatting xmlns:xm="http://schemas.microsoft.com/office/excel/2006/main">
          <x14:cfRule type="dataBar" priority="98" id="{004E00F0-005B-4643-84CC-005E00BE0089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F6</xm:sqref>
        </x14:conditionalFormatting>
        <x14:conditionalFormatting xmlns:xm="http://schemas.microsoft.com/office/excel/2006/main">
          <x14:cfRule type="dataBar" priority="97" id="{00090043-00F3-4C88-94E5-002200D800A9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F6</xm:sqref>
        </x14:conditionalFormatting>
        <x14:conditionalFormatting xmlns:xm="http://schemas.microsoft.com/office/excel/2006/main">
          <x14:cfRule type="dataBar" priority="96" id="{00100089-004C-4CE3-A3A0-008100400096}">
            <x14:dataBar maxLength="90" minLength="10" axisPosition="automatic" direction="context">
              <x14:cfvo type="min"/>
              <x14:cfvo type="max"/>
              <x14:fillColor rgb="FF63C384"/>
            </x14:dataBar>
          </x14:cfRule>
          <xm:sqref>N153</xm:sqref>
        </x14:conditionalFormatting>
        <x14:conditionalFormatting xmlns:xm="http://schemas.microsoft.com/office/excel/2006/main">
          <x14:cfRule type="dataBar" priority="95" id="{00F900E8-00CA-4870-B23D-0073007000CD}">
            <x14:dataBar maxLength="90" minLength="10" axisPosition="automatic" direction="context">
              <x14:cfvo type="min"/>
              <x14:cfvo type="max"/>
              <x14:fillColor rgb="FFFF555A"/>
            </x14:dataBar>
          </x14:cfRule>
          <xm:sqref>F153</xm:sqref>
        </x14:conditionalFormatting>
        <x14:conditionalFormatting xmlns:xm="http://schemas.microsoft.com/office/excel/2006/main">
          <x14:cfRule type="dataBar" priority="94" id="{004B001A-00D4-4DA1-BFE5-00E400460089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T153:U153</xm:sqref>
        </x14:conditionalFormatting>
        <x14:conditionalFormatting xmlns:xm="http://schemas.microsoft.com/office/excel/2006/main">
          <x14:cfRule type="dataBar" priority="93" id="{00C6003D-0055-4830-9C40-0012003C00AC}">
            <x14:dataBar maxLength="90" minLength="10" axisPosition="automatic" direction="context">
              <x14:cfvo type="min"/>
              <x14:cfvo type="max"/>
              <x14:fillColor rgb="FFFFB628"/>
            </x14:dataBar>
          </x14:cfRule>
          <xm:sqref>S153</xm:sqref>
        </x14:conditionalFormatting>
        <x14:conditionalFormatting xmlns:xm="http://schemas.microsoft.com/office/excel/2006/main">
          <x14:cfRule type="dataBar" priority="92" id="{00D80089-0018-490B-8002-008F00BF0095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U153</xm:sqref>
        </x14:conditionalFormatting>
        <x14:conditionalFormatting xmlns:xm="http://schemas.microsoft.com/office/excel/2006/main">
          <x14:cfRule type="dataBar" priority="91" id="{005000F1-0039-46C7-A40B-005000FD0088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T153</xm:sqref>
        </x14:conditionalFormatting>
        <x14:conditionalFormatting xmlns:xm="http://schemas.microsoft.com/office/excel/2006/main">
          <x14:cfRule type="dataBar" priority="90" id="{0055006C-0037-4EA9-976D-001C00D5007F}">
            <x14:dataBar maxLength="90" minLength="10" axisPosition="automatic" direction="context">
              <x14:cfvo type="num">
                <xm:f>0</xm:f>
              </x14:cfvo>
              <x14:cfvo type="max"/>
              <x14:fillColor rgb="FF008AEF"/>
            </x14:dataBar>
          </x14:cfRule>
          <xm:sqref>T153</xm:sqref>
        </x14:conditionalFormatting>
        <x14:conditionalFormatting xmlns:xm="http://schemas.microsoft.com/office/excel/2006/main">
          <x14:cfRule type="dataBar" priority="89" id="{00690069-00C7-44D3-BF42-0089007E0073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F153</xm:sqref>
        </x14:conditionalFormatting>
        <x14:conditionalFormatting xmlns:xm="http://schemas.microsoft.com/office/excel/2006/main">
          <x14:cfRule type="dataBar" priority="88" id="{009A006A-006B-4811-B67E-00E200F90086}">
            <x14:dataBar maxLength="90" minLength="10" axisPosition="automatic" direction="context">
              <x14:cfvo type="min"/>
              <x14:cfvo type="max"/>
              <x14:fillColor rgb="FFFF555A"/>
            </x14:dataBar>
          </x14:cfRule>
          <xm:sqref>F153</xm:sqref>
        </x14:conditionalFormatting>
        <x14:conditionalFormatting xmlns:xm="http://schemas.microsoft.com/office/excel/2006/main">
          <x14:cfRule type="dataBar" priority="87" id="{00730080-0084-48F3-975D-009200BA0068}">
            <x14:dataBar maxLength="90" minLength="10" axisPosition="automatic" direction="context">
              <x14:cfvo type="num">
                <xm:f>0</xm:f>
              </x14:cfvo>
              <x14:cfvo type="max"/>
              <x14:fillColor rgb="FFFF555A"/>
            </x14:dataBar>
          </x14:cfRule>
          <xm:sqref>F153</xm:sqref>
        </x14:conditionalFormatting>
        <x14:conditionalFormatting xmlns:xm="http://schemas.microsoft.com/office/excel/2006/main">
          <x14:cfRule type="dataBar" priority="86" id="{00470058-0000-4ED4-AC86-0094009D0059}">
            <x14:dataBar maxLength="90" minLength="10" axisPosition="automatic" direction="context">
              <x14:cfvo type="min"/>
              <x14:cfvo type="max"/>
              <x14:fillColor rgb="FF63C384"/>
            </x14:dataBar>
          </x14:cfRule>
          <xm:sqref>N153</xm:sqref>
        </x14:conditionalFormatting>
        <x14:conditionalFormatting xmlns:xm="http://schemas.microsoft.com/office/excel/2006/main">
          <x14:cfRule type="dataBar" priority="85" id="{002F00BA-0054-41A9-99C8-00EB00E2007E}">
            <x14:dataBar maxLength="90" minLength="10" axisPosition="automatic" direction="context">
              <x14:cfvo type="num">
                <xm:f>0</xm:f>
              </x14:cfvo>
              <x14:cfvo type="max"/>
              <x14:fillColor rgb="FF638EC6"/>
            </x14:dataBar>
          </x14:cfRule>
          <xm:sqref>N153</xm:sqref>
        </x14:conditionalFormatting>
        <x14:conditionalFormatting xmlns:xm="http://schemas.microsoft.com/office/excel/2006/main">
          <x14:cfRule type="dataBar" priority="84" id="{007000F9-002A-4B08-ABF5-00C0009C004D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U153</xm:sqref>
        </x14:conditionalFormatting>
        <x14:conditionalFormatting xmlns:xm="http://schemas.microsoft.com/office/excel/2006/main">
          <x14:cfRule type="dataBar" priority="83" id="{0069004B-0021-410F-B232-00A0008B00E5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U153</xm:sqref>
        </x14:conditionalFormatting>
        <x14:conditionalFormatting xmlns:xm="http://schemas.microsoft.com/office/excel/2006/main">
          <x14:cfRule type="dataBar" priority="82" id="{005D00D9-00C4-41DF-9277-006C00DF00BE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U153</xm:sqref>
        </x14:conditionalFormatting>
        <x14:conditionalFormatting xmlns:xm="http://schemas.microsoft.com/office/excel/2006/main">
          <x14:cfRule type="dataBar" priority="81" id="{0066007E-0069-4619-BB96-00AF00C400A6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U153</xm:sqref>
        </x14:conditionalFormatting>
        <x14:conditionalFormatting xmlns:xm="http://schemas.microsoft.com/office/excel/2006/main">
          <x14:cfRule type="dataBar" priority="80" id="{004E007E-00BE-4D69-BB36-00C5003F0006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U153</xm:sqref>
        </x14:conditionalFormatting>
        <x14:conditionalFormatting xmlns:xm="http://schemas.microsoft.com/office/excel/2006/main">
          <x14:cfRule type="dataBar" priority="79" id="{00FE00C2-0072-4240-A280-0027001F004A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U153</xm:sqref>
        </x14:conditionalFormatting>
        <x14:conditionalFormatting xmlns:xm="http://schemas.microsoft.com/office/excel/2006/main">
          <x14:cfRule type="dataBar" priority="78" id="{0099008F-0069-46F3-AB88-0090002E0052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U153</xm:sqref>
        </x14:conditionalFormatting>
        <x14:conditionalFormatting xmlns:xm="http://schemas.microsoft.com/office/excel/2006/main">
          <x14:cfRule type="dataBar" priority="77" id="{00AD00AD-0067-47A7-8A76-00E9003E002E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T153</xm:sqref>
        </x14:conditionalFormatting>
        <x14:conditionalFormatting xmlns:xm="http://schemas.microsoft.com/office/excel/2006/main">
          <x14:cfRule type="dataBar" priority="76" id="{007B005E-003A-4731-AF9E-00BB007300A6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T153</xm:sqref>
        </x14:conditionalFormatting>
        <x14:conditionalFormatting xmlns:xm="http://schemas.microsoft.com/office/excel/2006/main">
          <x14:cfRule type="dataBar" priority="75" id="{004A0097-0097-41F8-8D0C-00D500850059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T153</xm:sqref>
        </x14:conditionalFormatting>
        <x14:conditionalFormatting xmlns:xm="http://schemas.microsoft.com/office/excel/2006/main">
          <x14:cfRule type="dataBar" priority="74" id="{00BE0052-000A-4290-9C59-007B002700C6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S153</xm:sqref>
        </x14:conditionalFormatting>
        <x14:conditionalFormatting xmlns:xm="http://schemas.microsoft.com/office/excel/2006/main">
          <x14:cfRule type="dataBar" priority="73" id="{0049009D-00B3-47A3-A381-0005003B0048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S153</xm:sqref>
        </x14:conditionalFormatting>
        <x14:conditionalFormatting xmlns:xm="http://schemas.microsoft.com/office/excel/2006/main">
          <x14:cfRule type="dataBar" priority="72" id="{00EC00D3-00B8-4193-8EA9-005900590026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U153</xm:sqref>
        </x14:conditionalFormatting>
        <x14:conditionalFormatting xmlns:xm="http://schemas.microsoft.com/office/excel/2006/main">
          <x14:cfRule type="dataBar" priority="71" id="{0005007F-001C-4D3F-896B-008500A8003D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U153</xm:sqref>
        </x14:conditionalFormatting>
        <x14:conditionalFormatting xmlns:xm="http://schemas.microsoft.com/office/excel/2006/main">
          <x14:cfRule type="dataBar" priority="70" id="{004E0092-0011-4C05-8308-00BE00FB0043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U153</xm:sqref>
        </x14:conditionalFormatting>
        <x14:conditionalFormatting xmlns:xm="http://schemas.microsoft.com/office/excel/2006/main">
          <x14:cfRule type="dataBar" priority="69" id="{00700039-00DB-434A-A53C-003E0097004C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T153</xm:sqref>
        </x14:conditionalFormatting>
        <x14:conditionalFormatting xmlns:xm="http://schemas.microsoft.com/office/excel/2006/main">
          <x14:cfRule type="dataBar" priority="68" id="{008800B3-009B-4F4A-8FBD-00C800920034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T153</xm:sqref>
        </x14:conditionalFormatting>
        <x14:conditionalFormatting xmlns:xm="http://schemas.microsoft.com/office/excel/2006/main">
          <x14:cfRule type="dataBar" priority="67" id="{00970088-003D-4954-9ED3-00BD00380043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T153</xm:sqref>
        </x14:conditionalFormatting>
        <x14:conditionalFormatting xmlns:xm="http://schemas.microsoft.com/office/excel/2006/main">
          <x14:cfRule type="dataBar" priority="66" id="{00A4008B-00FD-4057-B2CB-006B00460038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S153</xm:sqref>
        </x14:conditionalFormatting>
        <x14:conditionalFormatting xmlns:xm="http://schemas.microsoft.com/office/excel/2006/main">
          <x14:cfRule type="dataBar" priority="65" id="{00D9004F-00CC-49A5-9CC9-009300C90094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N153</xm:sqref>
        </x14:conditionalFormatting>
        <x14:conditionalFormatting xmlns:xm="http://schemas.microsoft.com/office/excel/2006/main">
          <x14:cfRule type="dataBar" priority="64" id="{00F50031-0054-4FB2-9219-00A10017005F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F153</xm:sqref>
        </x14:conditionalFormatting>
        <x14:conditionalFormatting xmlns:xm="http://schemas.microsoft.com/office/excel/2006/main">
          <x14:cfRule type="dataBar" priority="63" id="{00640079-0000-462C-909F-007800EF008D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S153</xm:sqref>
        </x14:conditionalFormatting>
        <x14:conditionalFormatting xmlns:xm="http://schemas.microsoft.com/office/excel/2006/main">
          <x14:cfRule type="dataBar" priority="62" id="{00750042-002D-4CE1-B461-00A100E40046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S153</xm:sqref>
        </x14:conditionalFormatting>
        <x14:conditionalFormatting xmlns:xm="http://schemas.microsoft.com/office/excel/2006/main">
          <x14:cfRule type="dataBar" priority="61" id="{00010075-00A4-46A2-BCB6-005400D500F6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N153</xm:sqref>
        </x14:conditionalFormatting>
        <x14:conditionalFormatting xmlns:xm="http://schemas.microsoft.com/office/excel/2006/main">
          <x14:cfRule type="dataBar" priority="60" id="{00F70063-00DC-486A-92B9-00AA001600BB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F153</xm:sqref>
        </x14:conditionalFormatting>
        <x14:conditionalFormatting xmlns:xm="http://schemas.microsoft.com/office/excel/2006/main">
          <x14:cfRule type="dataBar" priority="59" id="{0022005B-0052-4CDB-A7D1-00D900DB00CB}">
            <x14:dataBar maxLength="90" minLength="10" axisPosition="automatic" direction="context">
              <x14:cfvo type="min"/>
              <x14:cfvo type="max"/>
              <x14:fillColor rgb="FF63C384"/>
            </x14:dataBar>
          </x14:cfRule>
          <xm:sqref>N153</xm:sqref>
        </x14:conditionalFormatting>
        <x14:conditionalFormatting xmlns:xm="http://schemas.microsoft.com/office/excel/2006/main">
          <x14:cfRule type="dataBar" priority="58" id="{0020008C-0002-4429-9E8A-00C000FC0036}">
            <x14:dataBar maxLength="90" minLength="10" axisPosition="automatic" direction="context">
              <x14:cfvo type="min"/>
              <x14:cfvo type="max"/>
              <x14:fillColor rgb="FFFFB628"/>
            </x14:dataBar>
          </x14:cfRule>
          <xm:sqref>S153</xm:sqref>
        </x14:conditionalFormatting>
        <x14:conditionalFormatting xmlns:xm="http://schemas.microsoft.com/office/excel/2006/main">
          <x14:cfRule type="dataBar" priority="57" id="{0040007A-0030-4385-9672-00BB00E100D7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S153</xm:sqref>
        </x14:conditionalFormatting>
        <x14:conditionalFormatting xmlns:xm="http://schemas.microsoft.com/office/excel/2006/main">
          <x14:cfRule type="dataBar" priority="56" id="{00CC00A8-0012-4C01-BF7C-00AE00250046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F153</xm:sqref>
        </x14:conditionalFormatting>
        <x14:conditionalFormatting xmlns:xm="http://schemas.microsoft.com/office/excel/2006/main">
          <x14:cfRule type="dataBar" priority="55" id="{000900EB-001E-4AD3-B21B-00C3008100ED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N153</xm:sqref>
        </x14:conditionalFormatting>
        <x14:conditionalFormatting xmlns:xm="http://schemas.microsoft.com/office/excel/2006/main">
          <x14:cfRule type="dataBar" priority="54" id="{00840064-00AD-43AD-86DD-002000AB001A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S153</xm:sqref>
        </x14:conditionalFormatting>
        <x14:conditionalFormatting xmlns:xm="http://schemas.microsoft.com/office/excel/2006/main">
          <x14:cfRule type="dataBar" priority="53" id="{00960053-0078-4650-AB8D-00FE001F008E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F153</xm:sqref>
        </x14:conditionalFormatting>
        <x14:conditionalFormatting xmlns:xm="http://schemas.microsoft.com/office/excel/2006/main">
          <x14:cfRule type="dataBar" priority="52" id="{0001006A-00F0-4914-B7EF-00470002009D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N153</xm:sqref>
        </x14:conditionalFormatting>
        <x14:conditionalFormatting xmlns:xm="http://schemas.microsoft.com/office/excel/2006/main">
          <x14:cfRule type="dataBar" priority="51" id="{0066004E-00B5-404B-916E-00CA002D0071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F153</xm:sqref>
        </x14:conditionalFormatting>
        <x14:conditionalFormatting xmlns:xm="http://schemas.microsoft.com/office/excel/2006/main">
          <x14:cfRule type="dataBar" priority="50" id="{00AA0092-000E-461C-978E-00AA006F0060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N153</xm:sqref>
        </x14:conditionalFormatting>
        <x14:conditionalFormatting xmlns:xm="http://schemas.microsoft.com/office/excel/2006/main">
          <x14:cfRule type="dataBar" priority="49" id="{00A60014-0010-4908-9300-00BD0090002D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S153</xm:sqref>
        </x14:conditionalFormatting>
        <x14:conditionalFormatting xmlns:xm="http://schemas.microsoft.com/office/excel/2006/main">
          <x14:cfRule type="dataBar" priority="48" id="{00BD0028-00AF-4B4B-9DD6-0044005B0012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S153</xm:sqref>
        </x14:conditionalFormatting>
        <x14:conditionalFormatting xmlns:xm="http://schemas.microsoft.com/office/excel/2006/main">
          <x14:cfRule type="dataBar" priority="47" id="{0008008E-0050-47A8-ADE8-000200F200DC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F153</xm:sqref>
        </x14:conditionalFormatting>
        <x14:conditionalFormatting xmlns:xm="http://schemas.microsoft.com/office/excel/2006/main">
          <x14:cfRule type="dataBar" priority="46" id="{00730085-00A8-4946-B68C-0016003800BF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N153</xm:sqref>
        </x14:conditionalFormatting>
        <x14:conditionalFormatting xmlns:xm="http://schemas.microsoft.com/office/excel/2006/main">
          <x14:cfRule type="dataBar" priority="45" id="{006500E6-0005-4453-9A2A-00F100420038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S153</xm:sqref>
        </x14:conditionalFormatting>
        <x14:conditionalFormatting xmlns:xm="http://schemas.microsoft.com/office/excel/2006/main">
          <x14:cfRule type="dataBar" priority="44" id="{00B60069-00B4-4DDA-A08C-008C002B0060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S153</xm:sqref>
        </x14:conditionalFormatting>
        <x14:conditionalFormatting xmlns:xm="http://schemas.microsoft.com/office/excel/2006/main">
          <x14:cfRule type="dataBar" priority="43" id="{007B0057-006C-40BB-9905-00DE006B00A6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S153</xm:sqref>
        </x14:conditionalFormatting>
        <x14:conditionalFormatting xmlns:xm="http://schemas.microsoft.com/office/excel/2006/main">
          <x14:cfRule type="dataBar" priority="42" id="{004D005E-00DC-4E15-A791-0056006D00A4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S153</xm:sqref>
        </x14:conditionalFormatting>
        <x14:conditionalFormatting xmlns:xm="http://schemas.microsoft.com/office/excel/2006/main">
          <x14:cfRule type="dataBar" priority="41" id="{00B400D7-0074-4D54-BE4D-008D004F001E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S153</xm:sqref>
        </x14:conditionalFormatting>
        <x14:conditionalFormatting xmlns:xm="http://schemas.microsoft.com/office/excel/2006/main">
          <x14:cfRule type="dataBar" priority="40" id="{00BD002F-00C9-4717-933A-00600063009F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S153</xm:sqref>
        </x14:conditionalFormatting>
        <x14:conditionalFormatting xmlns:xm="http://schemas.microsoft.com/office/excel/2006/main">
          <x14:cfRule type="dataBar" priority="39" id="{001F006B-0063-467A-A8AC-000C000E0034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S153</xm:sqref>
        </x14:conditionalFormatting>
        <x14:conditionalFormatting xmlns:xm="http://schemas.microsoft.com/office/excel/2006/main">
          <x14:cfRule type="dataBar" priority="38" id="{00BC0032-0067-479D-8BAD-000900C100D0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S153</xm:sqref>
        </x14:conditionalFormatting>
        <x14:conditionalFormatting xmlns:xm="http://schemas.microsoft.com/office/excel/2006/main">
          <x14:cfRule type="dataBar" priority="37" id="{00D200BF-0004-4C33-B5F4-002D00BF00B6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S153</xm:sqref>
        </x14:conditionalFormatting>
        <x14:conditionalFormatting xmlns:xm="http://schemas.microsoft.com/office/excel/2006/main">
          <x14:cfRule type="dataBar" priority="36" id="{001D003C-007B-43E9-88A3-004B001F0067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S153</xm:sqref>
        </x14:conditionalFormatting>
        <x14:conditionalFormatting xmlns:xm="http://schemas.microsoft.com/office/excel/2006/main">
          <x14:cfRule type="dataBar" priority="35" id="{007B0022-0078-4FAB-8F41-000D00480089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T153</xm:sqref>
        </x14:conditionalFormatting>
        <x14:conditionalFormatting xmlns:xm="http://schemas.microsoft.com/office/excel/2006/main">
          <x14:cfRule type="dataBar" priority="34" id="{004A0093-0092-4D93-B897-0060002C003A}">
            <x14:dataBar maxLength="100" minLength="0" axisPosition="automatic" direction="context" gradient="0">
              <x14:cfvo type="autoMin"/>
              <x14:cfvo type="autoMax"/>
              <x14:fillColor rgb="FF008AEF"/>
              <x14:negativeFillColor indexed="2"/>
              <x14:axisColor indexed="64"/>
            </x14:dataBar>
          </x14:cfRule>
          <xm:sqref>T153</xm:sqref>
        </x14:conditionalFormatting>
        <x14:conditionalFormatting xmlns:xm="http://schemas.microsoft.com/office/excel/2006/main">
          <x14:cfRule type="dataBar" priority="33" id="{002D0057-0013-46C5-98A4-005400C10051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T153</xm:sqref>
        </x14:conditionalFormatting>
        <x14:conditionalFormatting xmlns:xm="http://schemas.microsoft.com/office/excel/2006/main">
          <x14:cfRule type="dataBar" priority="32" id="{00A70039-00E7-441E-A948-00AB00A30033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U153</xm:sqref>
        </x14:conditionalFormatting>
        <x14:conditionalFormatting xmlns:xm="http://schemas.microsoft.com/office/excel/2006/main">
          <x14:cfRule type="dataBar" priority="31" id="{00F90055-00CD-42BF-AB6E-00AA0047002F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U153</xm:sqref>
        </x14:conditionalFormatting>
        <x14:conditionalFormatting xmlns:xm="http://schemas.microsoft.com/office/excel/2006/main">
          <x14:cfRule type="dataBar" priority="30" id="{009900D6-0064-4E47-B700-00D100B500F9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U153</xm:sqref>
        </x14:conditionalFormatting>
        <x14:conditionalFormatting xmlns:xm="http://schemas.microsoft.com/office/excel/2006/main">
          <x14:cfRule type="dataBar" priority="29" id="{00710018-0075-483E-A947-001E002B0025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S153</xm:sqref>
        </x14:conditionalFormatting>
        <x14:conditionalFormatting xmlns:xm="http://schemas.microsoft.com/office/excel/2006/main">
          <x14:cfRule type="dataBar" priority="28" id="{00DA00DD-00C7-45AB-8099-008D00C30018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S153</xm:sqref>
        </x14:conditionalFormatting>
        <x14:conditionalFormatting xmlns:xm="http://schemas.microsoft.com/office/excel/2006/main">
          <x14:cfRule type="dataBar" priority="27" id="{004E00C7-000A-4855-8AD2-00B50088000E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S153</xm:sqref>
        </x14:conditionalFormatting>
        <x14:conditionalFormatting xmlns:xm="http://schemas.microsoft.com/office/excel/2006/main">
          <x14:cfRule type="dataBar" priority="26" id="{002200A0-00B1-4AFC-8D96-00DA009800C0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S153</xm:sqref>
        </x14:conditionalFormatting>
        <x14:conditionalFormatting xmlns:xm="http://schemas.microsoft.com/office/excel/2006/main">
          <x14:cfRule type="dataBar" priority="25" id="{004C008C-0025-4734-8BE6-000D00BE00DC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S153</xm:sqref>
        </x14:conditionalFormatting>
        <x14:conditionalFormatting xmlns:xm="http://schemas.microsoft.com/office/excel/2006/main">
          <x14:cfRule type="dataBar" priority="24" id="{00EE006E-0060-40E0-A851-0083001900E8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S153</xm:sqref>
        </x14:conditionalFormatting>
        <x14:conditionalFormatting xmlns:xm="http://schemas.microsoft.com/office/excel/2006/main">
          <x14:cfRule type="dataBar" priority="23" id="{00ED008B-0083-4A2D-AC4E-00BC002300E8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S153</xm:sqref>
        </x14:conditionalFormatting>
        <x14:conditionalFormatting xmlns:xm="http://schemas.microsoft.com/office/excel/2006/main">
          <x14:cfRule type="dataBar" priority="22" id="{00F30039-0095-4E17-8728-00F50066001B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S153</xm:sqref>
        </x14:conditionalFormatting>
        <x14:conditionalFormatting xmlns:xm="http://schemas.microsoft.com/office/excel/2006/main">
          <x14:cfRule type="dataBar" priority="21" id="{005400D4-0099-496B-8162-000D00460054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S153</xm:sqref>
        </x14:conditionalFormatting>
        <x14:conditionalFormatting xmlns:xm="http://schemas.microsoft.com/office/excel/2006/main">
          <x14:cfRule type="dataBar" priority="20" id="{00A00082-0055-4DB8-8C68-00E7005700B3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S153</xm:sqref>
        </x14:conditionalFormatting>
        <x14:conditionalFormatting xmlns:xm="http://schemas.microsoft.com/office/excel/2006/main">
          <x14:cfRule type="dataBar" priority="19" id="{00DC0093-0069-44C1-A701-00DE003E0078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S153</xm:sqref>
        </x14:conditionalFormatting>
        <x14:conditionalFormatting xmlns:xm="http://schemas.microsoft.com/office/excel/2006/main">
          <x14:cfRule type="dataBar" priority="18" id="{007200D9-002D-451E-A9B2-00F3008800CF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S153</xm:sqref>
        </x14:conditionalFormatting>
        <x14:conditionalFormatting xmlns:xm="http://schemas.microsoft.com/office/excel/2006/main">
          <x14:cfRule type="dataBar" priority="17" id="{00330033-00CE-4680-9C97-00FA00E70073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S153</xm:sqref>
        </x14:conditionalFormatting>
        <x14:conditionalFormatting xmlns:xm="http://schemas.microsoft.com/office/excel/2006/main">
          <x14:cfRule type="dataBar" priority="16" id="{00E8007E-0049-4570-B4F4-00C7001A0026}">
            <x14:dataBar maxLength="90" minLength="10" axisPosition="automatic" direction="context">
              <x14:cfvo type="min"/>
              <x14:cfvo type="max"/>
              <x14:fillColor rgb="FF63C384"/>
            </x14:dataBar>
          </x14:cfRule>
          <xm:sqref>N153</xm:sqref>
        </x14:conditionalFormatting>
        <x14:conditionalFormatting xmlns:xm="http://schemas.microsoft.com/office/excel/2006/main">
          <x14:cfRule type="dataBar" priority="15" id="{00950024-0022-40C6-BF89-008E005C0087}">
            <x14:dataBar maxLength="90" minLength="10" axisPosition="automatic" direction="context">
              <x14:cfvo type="num">
                <xm:f>0</xm:f>
              </x14:cfvo>
              <x14:cfvo type="max"/>
              <x14:fillColor rgb="FF638EC6"/>
            </x14:dataBar>
          </x14:cfRule>
          <xm:sqref>N153</xm:sqref>
        </x14:conditionalFormatting>
        <x14:conditionalFormatting xmlns:xm="http://schemas.microsoft.com/office/excel/2006/main">
          <x14:cfRule type="dataBar" priority="14" id="{00B8003A-0055-4744-9002-007C001700AA}">
            <x14:dataBar maxLength="90" minLength="10" axisPosition="automatic" direction="context">
              <x14:cfvo type="min"/>
              <x14:cfvo type="max"/>
              <x14:fillColor rgb="FFFF555A"/>
            </x14:dataBar>
          </x14:cfRule>
          <xm:sqref>F153</xm:sqref>
        </x14:conditionalFormatting>
        <x14:conditionalFormatting xmlns:xm="http://schemas.microsoft.com/office/excel/2006/main">
          <x14:cfRule type="dataBar" priority="13" id="{002900F0-00CA-4203-8306-00970034003C}">
            <x14:dataBar maxLength="90" minLength="10" axisPosition="automatic" direction="context">
              <x14:cfvo type="num">
                <xm:f>0</xm:f>
              </x14:cfvo>
              <x14:cfvo type="max"/>
              <x14:fillColor rgb="FF638EC6"/>
            </x14:dataBar>
          </x14:cfRule>
          <xm:sqref>F153</xm:sqref>
        </x14:conditionalFormatting>
        <x14:conditionalFormatting xmlns:xm="http://schemas.microsoft.com/office/excel/2006/main">
          <x14:cfRule type="dataBar" priority="12" id="{0087003D-0085-4600-B808-000700B700E4}">
            <x14:dataBar maxLength="90" minLength="10" axisPosition="automatic" direction="context">
              <x14:cfvo type="num">
                <xm:f>0</xm:f>
              </x14:cfvo>
              <x14:cfvo type="max"/>
              <x14:fillColor rgb="FFFF1515"/>
            </x14:dataBar>
          </x14:cfRule>
          <xm:sqref>F153</xm:sqref>
        </x14:conditionalFormatting>
        <x14:conditionalFormatting xmlns:xm="http://schemas.microsoft.com/office/excel/2006/main">
          <x14:cfRule type="dataBar" priority="11" id="{0098003D-00F3-4FED-8287-00CF00CB00E2}">
            <x14:dataBar maxLength="90" minLength="10" axisPosition="automatic" direction="context">
              <x14:cfvo type="num">
                <xm:f>0</xm:f>
              </x14:cfvo>
              <x14:cfvo type="max"/>
              <x14:fillColor rgb="FFFF555A"/>
            </x14:dataBar>
          </x14:cfRule>
          <xm:sqref>F153</xm:sqref>
        </x14:conditionalFormatting>
        <x14:conditionalFormatting xmlns:xm="http://schemas.microsoft.com/office/excel/2006/main">
          <x14:cfRule type="dataBar" priority="10" id="{004B0007-009B-4B0F-A39C-006000B9000B}">
            <x14:dataBar maxLength="90" minLength="10" axisPosition="automatic" direction="context">
              <x14:cfvo type="min"/>
              <x14:cfvo type="max"/>
              <x14:fillColor rgb="FFFF555A"/>
            </x14:dataBar>
          </x14:cfRule>
          <xm:sqref>F153</xm:sqref>
        </x14:conditionalFormatting>
        <x14:conditionalFormatting xmlns:xm="http://schemas.microsoft.com/office/excel/2006/main">
          <x14:cfRule type="dataBar" priority="9" id="{004D00FB-00F9-4668-A921-0008009E00CF}">
            <x14:dataBar maxLength="90" minLength="10" axisPosition="automatic" direction="context">
              <x14:cfvo type="min"/>
              <x14:cfvo type="max"/>
              <x14:fillColor rgb="FF63C384"/>
            </x14:dataBar>
          </x14:cfRule>
          <xm:sqref>N153</xm:sqref>
        </x14:conditionalFormatting>
        <x14:conditionalFormatting xmlns:xm="http://schemas.microsoft.com/office/excel/2006/main">
          <x14:cfRule type="dataBar" priority="8" id="{006A0038-00DE-4A88-A20A-00A1000200B0}">
            <x14:dataBar maxLength="90" minLength="10" axisPosition="automatic" direction="context">
              <x14:cfvo type="min"/>
              <x14:cfvo type="max"/>
              <x14:fillColor rgb="FFFFB628"/>
            </x14:dataBar>
          </x14:cfRule>
          <xm:sqref>S153</xm:sqref>
        </x14:conditionalFormatting>
        <x14:conditionalFormatting xmlns:xm="http://schemas.microsoft.com/office/excel/2006/main">
          <x14:cfRule type="dataBar" priority="7" id="{0006002F-004F-48FB-B93B-0012000800AA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T153</xm:sqref>
        </x14:conditionalFormatting>
        <x14:conditionalFormatting xmlns:xm="http://schemas.microsoft.com/office/excel/2006/main">
          <x14:cfRule type="dataBar" priority="6" id="{00FA0063-005D-492B-9A93-005600900009}">
            <x14:dataBar maxLength="90" minLength="10" axisPosition="automatic" direction="context">
              <x14:cfvo type="num">
                <xm:f>0</xm:f>
              </x14:cfvo>
              <x14:cfvo type="max"/>
              <x14:fillColor rgb="FF638EC6"/>
            </x14:dataBar>
          </x14:cfRule>
          <xm:sqref>T153</xm:sqref>
        </x14:conditionalFormatting>
        <x14:conditionalFormatting xmlns:xm="http://schemas.microsoft.com/office/excel/2006/main">
          <x14:cfRule type="dataBar" priority="5" id="{001500B1-00C8-4B65-B3BE-00CD006C00FC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N153</xm:sqref>
        </x14:conditionalFormatting>
        <x14:conditionalFormatting xmlns:xm="http://schemas.microsoft.com/office/excel/2006/main">
          <x14:cfRule type="dataBar" priority="4" id="{00DB00BD-00FF-4C31-BEC0-00C6005300CB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T153</xm:sqref>
        </x14:conditionalFormatting>
        <x14:conditionalFormatting xmlns:xm="http://schemas.microsoft.com/office/excel/2006/main">
          <x14:cfRule type="dataBar" priority="3" id="{00270009-00A2-4A1E-B268-007300CF0007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U153</xm:sqref>
        </x14:conditionalFormatting>
        <x14:conditionalFormatting xmlns:xm="http://schemas.microsoft.com/office/excel/2006/main">
          <x14:cfRule type="dataBar" priority="2" id="{00B80058-00A3-4CBC-A9CD-003F005F0032}">
            <x14:dataBar maxLength="90" minLength="10" axisPosition="automatic" direction="context">
              <x14:cfvo type="min"/>
              <x14:cfvo type="max"/>
              <x14:fillColor rgb="FF638EC6"/>
            </x14:dataBar>
          </x14:cfRule>
          <xm:sqref>U153</xm:sqref>
        </x14:conditionalFormatting>
        <x14:conditionalFormatting xmlns:xm="http://schemas.microsoft.com/office/excel/2006/main">
          <x14:cfRule type="dataBar" priority="1" id="{00B80089-00CE-4BED-9519-001D0025000F}">
            <x14:dataBar maxLength="90" minLength="10" axisPosition="automatic" direction="context">
              <x14:cfvo type="min"/>
              <x14:cfvo type="max"/>
              <x14:fillColor rgb="FFFF555A"/>
            </x14:dataBar>
          </x14:cfRule>
          <xm:sqref>F153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13" zoomScale="100" workbookViewId="0">
      <selection activeCell="I31" activeCellId="0" sqref="I31"/>
    </sheetView>
  </sheetViews>
  <sheetFormatPr defaultRowHeight="15"/>
  <cols>
    <col customWidth="1" min="18" max="18" width="9.5703125"/>
  </cols>
  <sheetData>
    <row r="1">
      <c r="A1" s="55" t="s">
        <v>152</v>
      </c>
      <c r="B1" s="56" t="s">
        <v>153</v>
      </c>
    </row>
    <row r="2">
      <c r="A2" s="57">
        <v>200</v>
      </c>
      <c r="B2" s="58">
        <v>1</v>
      </c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3">
      <c r="A3" s="59">
        <f t="shared" ref="A3:A12" si="32">A2+90+B2*30</f>
        <v>320</v>
      </c>
      <c r="B3" s="58">
        <v>2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</row>
    <row r="4">
      <c r="A4" s="59">
        <f t="shared" si="32"/>
        <v>470</v>
      </c>
      <c r="B4" s="58">
        <v>3</v>
      </c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</row>
    <row r="5">
      <c r="A5" s="59">
        <f t="shared" si="32"/>
        <v>650</v>
      </c>
      <c r="B5" s="58">
        <v>4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</row>
    <row r="6">
      <c r="A6" s="59">
        <f t="shared" si="32"/>
        <v>860</v>
      </c>
      <c r="B6" s="58">
        <v>5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</row>
    <row r="7">
      <c r="A7" s="59">
        <f t="shared" si="32"/>
        <v>1100</v>
      </c>
      <c r="B7" s="58">
        <v>6</v>
      </c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</row>
    <row r="8">
      <c r="A8" s="59">
        <f t="shared" si="32"/>
        <v>1370</v>
      </c>
      <c r="B8" s="58">
        <v>7</v>
      </c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</row>
    <row r="9">
      <c r="A9" s="59">
        <f t="shared" si="32"/>
        <v>1670</v>
      </c>
      <c r="B9" s="58">
        <v>8</v>
      </c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</row>
    <row r="10">
      <c r="A10" s="59">
        <f t="shared" si="32"/>
        <v>2000</v>
      </c>
      <c r="B10" s="58">
        <v>9</v>
      </c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</row>
    <row r="11">
      <c r="A11" s="59">
        <f t="shared" si="32"/>
        <v>2360</v>
      </c>
      <c r="B11" s="58">
        <v>10</v>
      </c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</row>
    <row r="12">
      <c r="A12" s="59">
        <f t="shared" si="32"/>
        <v>2750</v>
      </c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</row>
    <row r="13"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</row>
    <row r="14"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</row>
    <row r="25">
      <c r="B25" s="60" t="s">
        <v>154</v>
      </c>
    </row>
    <row r="27">
      <c r="B27" t="s">
        <v>155</v>
      </c>
      <c r="C27" t="s">
        <v>156</v>
      </c>
      <c r="D27" t="s">
        <v>157</v>
      </c>
      <c r="E27" t="s">
        <v>158</v>
      </c>
      <c r="G27" t="s">
        <v>159</v>
      </c>
      <c r="H27" t="s">
        <v>160</v>
      </c>
      <c r="I27" t="s">
        <v>161</v>
      </c>
      <c r="J27" t="s">
        <v>162</v>
      </c>
      <c r="M27" t="s">
        <v>163</v>
      </c>
      <c r="N27" t="s">
        <v>164</v>
      </c>
      <c r="O27" t="s">
        <v>165</v>
      </c>
      <c r="P27" t="s">
        <v>166</v>
      </c>
      <c r="R27" t="s">
        <v>167</v>
      </c>
      <c r="S27" t="s">
        <v>168</v>
      </c>
      <c r="T27" t="s">
        <v>169</v>
      </c>
      <c r="U27" t="s">
        <v>170</v>
      </c>
    </row>
    <row r="29">
      <c r="B29" t="s">
        <v>171</v>
      </c>
      <c r="C29" t="s">
        <v>172</v>
      </c>
      <c r="D29" t="s">
        <v>173</v>
      </c>
      <c r="E29" t="s">
        <v>174</v>
      </c>
      <c r="G29" t="s">
        <v>175</v>
      </c>
      <c r="H29" t="s">
        <v>176</v>
      </c>
      <c r="I29" t="s">
        <v>177</v>
      </c>
      <c r="J29" t="s">
        <v>178</v>
      </c>
      <c r="M29" t="s">
        <v>179</v>
      </c>
      <c r="N29" t="s">
        <v>180</v>
      </c>
      <c r="O29" t="s">
        <v>181</v>
      </c>
      <c r="P29" t="s">
        <v>182</v>
      </c>
      <c r="R29" t="s">
        <v>183</v>
      </c>
      <c r="S29" t="s">
        <v>184</v>
      </c>
      <c r="T29" t="s">
        <v>185</v>
      </c>
      <c r="U29" s="46" t="s">
        <v>186</v>
      </c>
    </row>
    <row r="32">
      <c r="B32" s="60" t="s">
        <v>187</v>
      </c>
    </row>
    <row r="34">
      <c r="B34" t="s">
        <v>188</v>
      </c>
      <c r="C34" t="s">
        <v>189</v>
      </c>
      <c r="D34" t="s">
        <v>190</v>
      </c>
      <c r="E34" t="s">
        <v>191</v>
      </c>
      <c r="G34" t="s">
        <v>192</v>
      </c>
      <c r="H34" t="s">
        <v>193</v>
      </c>
      <c r="I34" t="s">
        <v>194</v>
      </c>
      <c r="J34" t="s">
        <v>195</v>
      </c>
      <c r="L34" t="s">
        <v>196</v>
      </c>
      <c r="M34" t="s">
        <v>197</v>
      </c>
      <c r="N34" t="s">
        <v>198</v>
      </c>
      <c r="O34" t="s">
        <v>199</v>
      </c>
      <c r="Q34" t="s">
        <v>200</v>
      </c>
      <c r="R34" t="s">
        <v>201</v>
      </c>
      <c r="S34" t="s">
        <v>202</v>
      </c>
      <c r="T34" s="46" t="s">
        <v>203</v>
      </c>
    </row>
    <row r="36">
      <c r="B36" t="s">
        <v>204</v>
      </c>
      <c r="C36" t="s">
        <v>205</v>
      </c>
      <c r="D36" t="s">
        <v>206</v>
      </c>
      <c r="E36" t="s">
        <v>207</v>
      </c>
      <c r="G36" t="s">
        <v>208</v>
      </c>
      <c r="H36" t="s">
        <v>209</v>
      </c>
      <c r="I36" t="s">
        <v>210</v>
      </c>
      <c r="J36" t="s">
        <v>211</v>
      </c>
      <c r="L36" t="s">
        <v>212</v>
      </c>
      <c r="M36" t="s">
        <v>175</v>
      </c>
      <c r="N36" t="s">
        <v>213</v>
      </c>
      <c r="O36" t="s">
        <v>180</v>
      </c>
      <c r="Q36" t="s">
        <v>214</v>
      </c>
      <c r="R36" t="s">
        <v>215</v>
      </c>
      <c r="S36" t="s">
        <v>216</v>
      </c>
      <c r="T36" t="s">
        <v>217</v>
      </c>
    </row>
    <row r="39">
      <c r="B39" s="60" t="s">
        <v>218</v>
      </c>
    </row>
    <row r="41">
      <c r="B41" t="s">
        <v>219</v>
      </c>
      <c r="C41" t="s">
        <v>220</v>
      </c>
      <c r="D41" t="s">
        <v>221</v>
      </c>
      <c r="E41" t="s">
        <v>222</v>
      </c>
      <c r="G41" t="s">
        <v>223</v>
      </c>
      <c r="H41" t="s">
        <v>224</v>
      </c>
      <c r="I41" t="s">
        <v>225</v>
      </c>
      <c r="J41" t="s">
        <v>226</v>
      </c>
      <c r="L41" t="s">
        <v>227</v>
      </c>
      <c r="M41" t="s">
        <v>228</v>
      </c>
      <c r="N41" t="s">
        <v>229</v>
      </c>
      <c r="O41" t="s">
        <v>230</v>
      </c>
      <c r="Q41" t="s">
        <v>231</v>
      </c>
      <c r="R41" t="s">
        <v>232</v>
      </c>
      <c r="S41" t="s">
        <v>233</v>
      </c>
      <c r="T41" t="s">
        <v>234</v>
      </c>
    </row>
    <row r="43">
      <c r="B43" t="s">
        <v>235</v>
      </c>
      <c r="C43" t="s">
        <v>236</v>
      </c>
      <c r="D43" t="s">
        <v>237</v>
      </c>
      <c r="E43" t="s">
        <v>238</v>
      </c>
      <c r="G43" t="s">
        <v>239</v>
      </c>
      <c r="H43" t="s">
        <v>240</v>
      </c>
      <c r="I43" t="s">
        <v>241</v>
      </c>
      <c r="J43" t="s">
        <v>242</v>
      </c>
      <c r="L43" t="s">
        <v>243</v>
      </c>
      <c r="M43" t="s">
        <v>244</v>
      </c>
      <c r="N43" t="s">
        <v>245</v>
      </c>
      <c r="O43" t="s">
        <v>246</v>
      </c>
      <c r="Q43" t="s">
        <v>247</v>
      </c>
      <c r="R43" t="s">
        <v>248</v>
      </c>
      <c r="S43" s="46" t="s">
        <v>249</v>
      </c>
      <c r="T43" t="s">
        <v>250</v>
      </c>
    </row>
    <row r="45">
      <c r="B45" t="s">
        <v>251</v>
      </c>
      <c r="C45" t="s">
        <v>252</v>
      </c>
      <c r="D45" t="s">
        <v>253</v>
      </c>
      <c r="E45" t="s">
        <v>254</v>
      </c>
      <c r="G45" t="s">
        <v>255</v>
      </c>
      <c r="H45" t="s">
        <v>256</v>
      </c>
      <c r="I45" t="s">
        <v>257</v>
      </c>
      <c r="J45" t="s">
        <v>258</v>
      </c>
      <c r="L45" t="s">
        <v>259</v>
      </c>
      <c r="M45" t="s">
        <v>260</v>
      </c>
      <c r="N45" t="s">
        <v>261</v>
      </c>
      <c r="O45" t="s">
        <v>262</v>
      </c>
      <c r="Q45" t="s">
        <v>263</v>
      </c>
      <c r="R45" t="s">
        <v>264</v>
      </c>
      <c r="S45" t="s">
        <v>265</v>
      </c>
      <c r="T45" t="s">
        <v>266</v>
      </c>
    </row>
    <row r="47">
      <c r="B47" t="s">
        <v>267</v>
      </c>
      <c r="C47" t="s">
        <v>268</v>
      </c>
      <c r="D47" t="s">
        <v>269</v>
      </c>
      <c r="E47" t="s">
        <v>270</v>
      </c>
      <c r="G47" t="s">
        <v>271</v>
      </c>
      <c r="H47" t="s">
        <v>272</v>
      </c>
      <c r="I47" t="s">
        <v>273</v>
      </c>
      <c r="J47" t="s">
        <v>274</v>
      </c>
      <c r="L47" s="46" t="s">
        <v>275</v>
      </c>
      <c r="M47" s="46" t="s">
        <v>276</v>
      </c>
      <c r="N47" t="s">
        <v>277</v>
      </c>
      <c r="O47" t="s">
        <v>278</v>
      </c>
      <c r="Q47" s="61" t="s">
        <v>279</v>
      </c>
      <c r="R47" s="61" t="s">
        <v>280</v>
      </c>
      <c r="S47" s="61" t="s">
        <v>281</v>
      </c>
      <c r="T47" s="61" t="s">
        <v>282</v>
      </c>
    </row>
    <row r="50">
      <c r="B50" s="61" t="s">
        <v>283</v>
      </c>
      <c r="C50" s="61" t="s">
        <v>283</v>
      </c>
      <c r="D50" s="61" t="s">
        <v>283</v>
      </c>
      <c r="E50" s="61" t="s">
        <v>283</v>
      </c>
      <c r="G50" s="61" t="s">
        <v>283</v>
      </c>
      <c r="H50" s="61" t="s">
        <v>283</v>
      </c>
      <c r="I50" s="61" t="s">
        <v>283</v>
      </c>
      <c r="J50" s="61" t="s">
        <v>283</v>
      </c>
      <c r="L50" s="61" t="s">
        <v>283</v>
      </c>
      <c r="M50" s="61" t="s">
        <v>283</v>
      </c>
      <c r="N50" s="61" t="s">
        <v>283</v>
      </c>
      <c r="O50" s="61" t="s">
        <v>283</v>
      </c>
      <c r="Q50" s="61" t="s">
        <v>283</v>
      </c>
      <c r="R50" s="61" t="s">
        <v>283</v>
      </c>
      <c r="S50" s="61" t="s">
        <v>283</v>
      </c>
      <c r="T50" s="61" t="s">
        <v>283</v>
      </c>
    </row>
    <row r="52">
      <c r="B52" s="61" t="s">
        <v>283</v>
      </c>
      <c r="C52" s="61" t="s">
        <v>283</v>
      </c>
      <c r="D52" s="61" t="s">
        <v>283</v>
      </c>
      <c r="E52" s="61" t="s">
        <v>283</v>
      </c>
      <c r="G52" s="61" t="s">
        <v>283</v>
      </c>
      <c r="H52" s="61" t="s">
        <v>283</v>
      </c>
      <c r="I52" s="61" t="s">
        <v>283</v>
      </c>
      <c r="J52" s="61" t="s">
        <v>283</v>
      </c>
      <c r="L52" s="61" t="s">
        <v>283</v>
      </c>
      <c r="M52" s="61" t="s">
        <v>283</v>
      </c>
      <c r="N52" s="61" t="s">
        <v>283</v>
      </c>
      <c r="O52" s="61" t="s">
        <v>283</v>
      </c>
      <c r="Q52" s="61" t="s">
        <v>283</v>
      </c>
      <c r="R52" s="61" t="s">
        <v>283</v>
      </c>
      <c r="S52" s="61" t="s">
        <v>283</v>
      </c>
      <c r="T52" s="61" t="s">
        <v>283</v>
      </c>
    </row>
    <row r="54">
      <c r="B54" t="s">
        <v>284</v>
      </c>
      <c r="C54" t="s">
        <v>285</v>
      </c>
      <c r="D54" t="s">
        <v>286</v>
      </c>
      <c r="E54" t="s">
        <v>287</v>
      </c>
      <c r="G54" t="s">
        <v>288</v>
      </c>
      <c r="H54" t="s">
        <v>289</v>
      </c>
      <c r="I54" t="s">
        <v>290</v>
      </c>
      <c r="J54" t="s">
        <v>291</v>
      </c>
      <c r="L54" t="s">
        <v>292</v>
      </c>
      <c r="M54" t="s">
        <v>293</v>
      </c>
      <c r="N54" t="s">
        <v>294</v>
      </c>
      <c r="O54" s="62" t="s">
        <v>295</v>
      </c>
      <c r="Q54" s="62" t="s">
        <v>296</v>
      </c>
      <c r="R54" s="61" t="s">
        <v>283</v>
      </c>
      <c r="S54" s="61" t="s">
        <v>283</v>
      </c>
      <c r="T54" s="61" t="s">
        <v>283</v>
      </c>
    </row>
    <row r="56">
      <c r="B56" s="61" t="s">
        <v>297</v>
      </c>
      <c r="C56" t="s">
        <v>298</v>
      </c>
      <c r="D56" t="s">
        <v>299</v>
      </c>
      <c r="E56" t="s">
        <v>300</v>
      </c>
      <c r="G56" s="61" t="s">
        <v>283</v>
      </c>
      <c r="H56" s="61" t="s">
        <v>283</v>
      </c>
      <c r="I56" s="61" t="s">
        <v>283</v>
      </c>
      <c r="J56" s="61" t="s">
        <v>283</v>
      </c>
      <c r="L56" s="61" t="s">
        <v>283</v>
      </c>
      <c r="M56" s="61" t="s">
        <v>283</v>
      </c>
      <c r="N56" s="61" t="s">
        <v>283</v>
      </c>
      <c r="O56" s="61" t="s">
        <v>283</v>
      </c>
      <c r="Q56" s="61" t="s">
        <v>283</v>
      </c>
      <c r="R56" s="61" t="s">
        <v>283</v>
      </c>
      <c r="S56" s="61" t="s">
        <v>283</v>
      </c>
      <c r="T56" s="61" t="s">
        <v>283</v>
      </c>
    </row>
    <row r="58">
      <c r="Q58" s="61"/>
    </row>
    <row r="63">
      <c r="B63" s="60" t="s">
        <v>301</v>
      </c>
    </row>
    <row r="64">
      <c r="R64" t="s">
        <v>302</v>
      </c>
      <c r="S64" t="s">
        <v>303</v>
      </c>
      <c r="T64" t="s">
        <v>304</v>
      </c>
      <c r="U64" t="s">
        <v>305</v>
      </c>
    </row>
    <row r="65">
      <c r="B65" s="63" t="s">
        <v>306</v>
      </c>
      <c r="C65" s="63" t="s">
        <v>307</v>
      </c>
      <c r="D65" s="63" t="s">
        <v>308</v>
      </c>
      <c r="E65" s="63" t="s">
        <v>309</v>
      </c>
      <c r="G65" s="63" t="s">
        <v>310</v>
      </c>
      <c r="H65" s="63" t="s">
        <v>311</v>
      </c>
      <c r="I65" s="63" t="s">
        <v>312</v>
      </c>
      <c r="J65" s="63" t="s">
        <v>313</v>
      </c>
      <c r="L65" s="63" t="s">
        <v>314</v>
      </c>
      <c r="M65" s="63" t="s">
        <v>315</v>
      </c>
      <c r="N65" s="63" t="s">
        <v>316</v>
      </c>
      <c r="O65" s="63" t="s">
        <v>317</v>
      </c>
      <c r="R65" t="s">
        <v>318</v>
      </c>
      <c r="S65" t="s">
        <v>319</v>
      </c>
      <c r="T65" t="s">
        <v>320</v>
      </c>
      <c r="U65" t="s">
        <v>321</v>
      </c>
    </row>
    <row r="66">
      <c r="E66" s="63" t="s">
        <v>322</v>
      </c>
      <c r="H66" s="63" t="s">
        <v>323</v>
      </c>
      <c r="I66" s="63" t="s">
        <v>324</v>
      </c>
      <c r="J66" s="63" t="s">
        <v>325</v>
      </c>
      <c r="M66" s="64" t="s">
        <v>326</v>
      </c>
      <c r="N66" s="64" t="s">
        <v>327</v>
      </c>
      <c r="O66" s="64" t="s">
        <v>328</v>
      </c>
      <c r="R66" t="s">
        <v>329</v>
      </c>
      <c r="S66" t="s">
        <v>330</v>
      </c>
      <c r="T66" t="s">
        <v>331</v>
      </c>
    </row>
    <row r="70">
      <c r="B70" s="63" t="s">
        <v>332</v>
      </c>
      <c r="C70" s="63" t="s">
        <v>333</v>
      </c>
      <c r="D70" s="65" t="s">
        <v>334</v>
      </c>
      <c r="E70" s="66" t="s">
        <v>335</v>
      </c>
      <c r="G70" s="63" t="s">
        <v>336</v>
      </c>
      <c r="H70" s="63" t="s">
        <v>337</v>
      </c>
      <c r="I70" s="63" t="s">
        <v>338</v>
      </c>
      <c r="J70" s="63" t="s">
        <v>339</v>
      </c>
      <c r="L70" s="63" t="s">
        <v>340</v>
      </c>
      <c r="M70" s="63" t="s">
        <v>341</v>
      </c>
      <c r="N70" s="63" t="s">
        <v>342</v>
      </c>
      <c r="O70" s="63" t="s">
        <v>343</v>
      </c>
      <c r="S70" t="s">
        <v>344</v>
      </c>
      <c r="T70" t="s">
        <v>323</v>
      </c>
      <c r="U70" t="s">
        <v>345</v>
      </c>
    </row>
    <row r="71">
      <c r="C71" s="67" t="s">
        <v>346</v>
      </c>
      <c r="D71" s="67" t="s">
        <v>347</v>
      </c>
      <c r="E71" s="68" t="s">
        <v>348</v>
      </c>
      <c r="H71" s="69" t="s">
        <v>349</v>
      </c>
      <c r="I71" s="69" t="s">
        <v>350</v>
      </c>
      <c r="J71" s="69" t="s">
        <v>351</v>
      </c>
      <c r="L71" s="63" t="s">
        <v>352</v>
      </c>
      <c r="M71" s="63" t="s">
        <v>353</v>
      </c>
      <c r="N71" s="63" t="s">
        <v>354</v>
      </c>
      <c r="O71" s="63" t="s">
        <v>355</v>
      </c>
      <c r="S71" s="63" t="s">
        <v>312</v>
      </c>
      <c r="U71" s="63" t="s">
        <v>310</v>
      </c>
    </row>
    <row r="72">
      <c r="L72" s="63" t="s">
        <v>356</v>
      </c>
      <c r="O72" s="69" t="s">
        <v>357</v>
      </c>
      <c r="R72" s="63" t="s">
        <v>358</v>
      </c>
      <c r="S72" s="63" t="s">
        <v>322</v>
      </c>
      <c r="T72" s="63" t="s">
        <v>359</v>
      </c>
      <c r="U72" s="63" t="s">
        <v>360</v>
      </c>
    </row>
    <row r="75">
      <c r="B75" s="60" t="s">
        <v>361</v>
      </c>
      <c r="C75" s="60"/>
    </row>
    <row r="77">
      <c r="B77" s="63" t="s">
        <v>362</v>
      </c>
      <c r="C77" s="70">
        <v>5</v>
      </c>
      <c r="D77" s="70">
        <v>10</v>
      </c>
      <c r="E77" s="70">
        <v>15</v>
      </c>
      <c r="F77" s="70">
        <v>20</v>
      </c>
      <c r="G77" s="70">
        <v>25</v>
      </c>
      <c r="H77" s="70">
        <v>30</v>
      </c>
      <c r="I77" s="70">
        <v>35</v>
      </c>
      <c r="J77" s="70">
        <v>40</v>
      </c>
      <c r="K77" s="70">
        <v>45</v>
      </c>
      <c r="L77" s="70">
        <v>50</v>
      </c>
      <c r="M77" s="70">
        <v>55</v>
      </c>
      <c r="N77" s="70">
        <v>60</v>
      </c>
      <c r="O77" s="70">
        <v>65</v>
      </c>
      <c r="P77" s="70">
        <v>70</v>
      </c>
      <c r="Q77" s="70">
        <v>75</v>
      </c>
      <c r="R77" s="70">
        <v>80</v>
      </c>
      <c r="S77" s="70">
        <v>85</v>
      </c>
      <c r="T77" s="70">
        <v>90</v>
      </c>
      <c r="U77" s="70">
        <v>95</v>
      </c>
      <c r="V77" s="70">
        <v>100</v>
      </c>
    </row>
    <row r="79">
      <c r="B79" s="63" t="s">
        <v>363</v>
      </c>
      <c r="C79" s="70">
        <v>1</v>
      </c>
      <c r="D79" s="70">
        <v>2</v>
      </c>
      <c r="E79" s="70">
        <v>3</v>
      </c>
      <c r="F79" s="70">
        <v>3</v>
      </c>
      <c r="G79" s="70">
        <v>4</v>
      </c>
      <c r="H79" s="70">
        <v>5</v>
      </c>
      <c r="I79" s="70">
        <v>6</v>
      </c>
      <c r="J79" s="70">
        <v>6</v>
      </c>
      <c r="K79" s="70">
        <v>7</v>
      </c>
      <c r="L79" s="70">
        <v>8</v>
      </c>
      <c r="M79" s="70">
        <v>9</v>
      </c>
      <c r="N79" s="70">
        <v>9</v>
      </c>
      <c r="O79" s="70">
        <v>10</v>
      </c>
      <c r="P79" s="70">
        <v>11</v>
      </c>
      <c r="Q79" s="70">
        <v>12</v>
      </c>
      <c r="R79" s="70">
        <v>12</v>
      </c>
      <c r="S79" s="70">
        <v>13</v>
      </c>
      <c r="T79" s="70">
        <v>14</v>
      </c>
      <c r="U79" s="70">
        <v>15</v>
      </c>
      <c r="V79" s="70">
        <v>15</v>
      </c>
    </row>
    <row r="80">
      <c r="B80" s="63" t="s">
        <v>364</v>
      </c>
      <c r="C80" s="71">
        <f>1+C79*0.06</f>
        <v>1.0600000000000001</v>
      </c>
      <c r="D80" s="71">
        <f t="shared" ref="D80:V80" si="33">1+D79*0.06</f>
        <v>1.1200000000000001</v>
      </c>
      <c r="E80" s="71">
        <f t="shared" si="33"/>
        <v>1.1799999999999999</v>
      </c>
      <c r="F80" s="71">
        <f t="shared" si="33"/>
        <v>1.1799999999999999</v>
      </c>
      <c r="G80" s="71">
        <f t="shared" si="33"/>
        <v>1.24</v>
      </c>
      <c r="H80" s="71">
        <f t="shared" si="33"/>
        <v>1.3</v>
      </c>
      <c r="I80" s="71">
        <f t="shared" si="33"/>
        <v>1.3599999999999999</v>
      </c>
      <c r="J80" s="71">
        <f t="shared" si="33"/>
        <v>1.3599999999999999</v>
      </c>
      <c r="K80" s="71">
        <f t="shared" si="33"/>
        <v>1.4199999999999999</v>
      </c>
      <c r="L80" s="71">
        <f t="shared" si="33"/>
        <v>1.48</v>
      </c>
      <c r="M80" s="71">
        <f t="shared" si="33"/>
        <v>1.54</v>
      </c>
      <c r="N80" s="71">
        <f t="shared" si="33"/>
        <v>1.54</v>
      </c>
      <c r="O80" s="71">
        <f t="shared" si="33"/>
        <v>1.6000000000000001</v>
      </c>
      <c r="P80" s="71">
        <f t="shared" si="33"/>
        <v>1.6599999999999999</v>
      </c>
      <c r="Q80" s="71">
        <f t="shared" si="33"/>
        <v>1.72</v>
      </c>
      <c r="R80" s="71">
        <f t="shared" si="33"/>
        <v>1.72</v>
      </c>
      <c r="S80" s="71">
        <f t="shared" si="33"/>
        <v>1.78</v>
      </c>
      <c r="T80" s="71">
        <f t="shared" si="33"/>
        <v>1.8399999999999999</v>
      </c>
      <c r="U80" s="71">
        <f t="shared" si="33"/>
        <v>1.8999999999999999</v>
      </c>
      <c r="V80" s="71">
        <f t="shared" si="33"/>
        <v>1.8999999999999999</v>
      </c>
    </row>
    <row r="82">
      <c r="B82" s="63" t="s">
        <v>365</v>
      </c>
      <c r="C82" s="72">
        <v>5</v>
      </c>
      <c r="D82" s="72">
        <v>8</v>
      </c>
      <c r="E82" s="72">
        <v>12</v>
      </c>
      <c r="F82" s="72">
        <v>15</v>
      </c>
      <c r="G82" s="72">
        <v>18</v>
      </c>
      <c r="H82" s="72">
        <v>21</v>
      </c>
      <c r="I82" s="72">
        <v>23</v>
      </c>
      <c r="J82" s="72">
        <v>26</v>
      </c>
      <c r="K82" s="72">
        <v>28</v>
      </c>
      <c r="L82" s="72">
        <v>30</v>
      </c>
      <c r="M82" s="72">
        <v>32</v>
      </c>
      <c r="N82" s="72">
        <v>34</v>
      </c>
      <c r="O82" s="72">
        <v>36</v>
      </c>
      <c r="P82" s="72">
        <v>37</v>
      </c>
      <c r="Q82" s="72">
        <v>39</v>
      </c>
      <c r="R82" s="72">
        <v>41</v>
      </c>
      <c r="S82" s="72">
        <v>43</v>
      </c>
      <c r="T82" s="72">
        <v>44</v>
      </c>
      <c r="U82" s="72">
        <v>46</v>
      </c>
      <c r="V82" s="72">
        <v>47</v>
      </c>
    </row>
    <row r="83">
      <c r="B83" s="63" t="s">
        <v>364</v>
      </c>
      <c r="C83" s="71">
        <f>100/(100-C82)</f>
        <v>1.0526315789473684</v>
      </c>
      <c r="D83" s="71">
        <f>100/(100-D82)</f>
        <v>1.0869565217391304</v>
      </c>
      <c r="E83" s="71">
        <f>100/(100-E82)</f>
        <v>1.1363636363636365</v>
      </c>
      <c r="F83" s="71">
        <f>100/(100-F82)</f>
        <v>1.1764705882352942</v>
      </c>
      <c r="G83" s="71">
        <f>100/(100-G82)</f>
        <v>1.2195121951219512</v>
      </c>
      <c r="H83" s="71">
        <f>100/(100-H82)</f>
        <v>1.2658227848101267</v>
      </c>
      <c r="I83" s="71">
        <f>100/(100-I82)</f>
        <v>1.2987012987012987</v>
      </c>
      <c r="J83" s="71">
        <f>100/(100-J82)</f>
        <v>1.3513513513513513</v>
      </c>
      <c r="K83" s="71">
        <f>100/(100-K82)</f>
        <v>1.3888888888888888</v>
      </c>
      <c r="L83" s="71">
        <f>100/(100-L82)</f>
        <v>1.4285714285714286</v>
      </c>
      <c r="M83" s="71">
        <f>100/(100-M82)</f>
        <v>1.4705882352941178</v>
      </c>
      <c r="N83" s="71">
        <f>100/(100-N82)</f>
        <v>1.5151515151515151</v>
      </c>
      <c r="O83" s="71">
        <f>100/(100-O82)</f>
        <v>1.5625</v>
      </c>
      <c r="P83" s="71">
        <f>100/(100-P82)</f>
        <v>1.5873015873015872</v>
      </c>
      <c r="Q83" s="71">
        <f>100/(100-Q82)</f>
        <v>1.639344262295082</v>
      </c>
      <c r="R83" s="71">
        <f>100/(100-R82)</f>
        <v>1.6949152542372881</v>
      </c>
      <c r="S83" s="71">
        <f>100/(100-S82)</f>
        <v>1.7543859649122806</v>
      </c>
      <c r="T83" s="71">
        <f>100/(100-T82)</f>
        <v>1.7857142857142858</v>
      </c>
      <c r="U83" s="71">
        <f>100/(100-U82)</f>
        <v>1.8518518518518519</v>
      </c>
      <c r="V83" s="71">
        <f>100/(100-V82)</f>
        <v>1.8867924528301887</v>
      </c>
    </row>
    <row r="84"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</row>
    <row r="85">
      <c r="B85" s="63" t="s">
        <v>366</v>
      </c>
      <c r="C85" s="71">
        <v>0.14999999999999999</v>
      </c>
      <c r="D85" s="71">
        <v>0.29999999999999999</v>
      </c>
      <c r="E85" s="71">
        <v>0.45000000000000001</v>
      </c>
      <c r="F85" s="71">
        <v>0.59999999999999998</v>
      </c>
      <c r="G85" s="71">
        <v>0.75</v>
      </c>
      <c r="H85" s="71">
        <v>0.90000000000000002</v>
      </c>
      <c r="I85" s="71">
        <v>1.05</v>
      </c>
      <c r="J85" s="71">
        <v>1.2</v>
      </c>
      <c r="K85" s="71">
        <v>1.3500000000000001</v>
      </c>
      <c r="L85" s="71">
        <v>1.5</v>
      </c>
      <c r="M85" s="71">
        <v>1.6499999999999999</v>
      </c>
      <c r="N85" s="71">
        <v>1.8</v>
      </c>
      <c r="O85" s="71">
        <v>1.95</v>
      </c>
      <c r="P85" s="71">
        <v>2.1000000000000001</v>
      </c>
      <c r="Q85" s="71">
        <v>2.25</v>
      </c>
      <c r="R85" s="71">
        <v>2.3999999999999999</v>
      </c>
      <c r="S85" s="71">
        <v>2.5499999999999998</v>
      </c>
      <c r="T85" s="71">
        <v>2.7000000000000002</v>
      </c>
      <c r="U85" s="71">
        <v>2.8500000000000001</v>
      </c>
      <c r="V85" s="71">
        <v>3</v>
      </c>
    </row>
    <row r="86"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</row>
    <row r="87">
      <c r="B87" s="63" t="s">
        <v>367</v>
      </c>
      <c r="C87" s="72">
        <v>3</v>
      </c>
      <c r="D87" s="72">
        <v>6</v>
      </c>
      <c r="E87" s="72">
        <v>9</v>
      </c>
      <c r="F87" s="72">
        <v>12</v>
      </c>
      <c r="G87" s="72">
        <v>15</v>
      </c>
      <c r="H87" s="72">
        <v>18</v>
      </c>
      <c r="I87" s="72">
        <v>21</v>
      </c>
      <c r="J87" s="72">
        <v>24</v>
      </c>
      <c r="K87" s="72">
        <v>27</v>
      </c>
      <c r="L87" s="72">
        <v>30</v>
      </c>
      <c r="M87" s="72">
        <v>33</v>
      </c>
      <c r="N87" s="72">
        <v>36</v>
      </c>
      <c r="O87" s="72">
        <v>39</v>
      </c>
      <c r="P87" s="72">
        <v>42</v>
      </c>
      <c r="Q87" s="72">
        <v>45</v>
      </c>
      <c r="R87" s="72">
        <v>48</v>
      </c>
      <c r="S87" s="72">
        <v>51</v>
      </c>
      <c r="T87" s="72">
        <v>54</v>
      </c>
      <c r="U87" s="72">
        <v>57</v>
      </c>
      <c r="V87" s="72">
        <v>60</v>
      </c>
    </row>
    <row r="88"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</row>
    <row r="89">
      <c r="B89" s="63" t="s">
        <v>368</v>
      </c>
      <c r="C89" s="72">
        <v>2</v>
      </c>
      <c r="D89" s="72">
        <v>4</v>
      </c>
      <c r="E89" s="72">
        <v>6</v>
      </c>
      <c r="F89" s="72">
        <v>7</v>
      </c>
      <c r="G89" s="72">
        <v>9</v>
      </c>
      <c r="H89" s="72">
        <v>10</v>
      </c>
      <c r="I89" s="72">
        <v>12</v>
      </c>
      <c r="J89" s="72">
        <v>13</v>
      </c>
      <c r="K89" s="72">
        <v>14</v>
      </c>
      <c r="L89" s="72">
        <v>15</v>
      </c>
      <c r="M89" s="72">
        <v>16</v>
      </c>
      <c r="N89" s="72">
        <v>17</v>
      </c>
      <c r="O89" s="72">
        <v>18</v>
      </c>
      <c r="P89" s="72">
        <v>19</v>
      </c>
      <c r="Q89" s="72">
        <v>20</v>
      </c>
      <c r="R89" s="72">
        <v>21</v>
      </c>
      <c r="S89" s="72">
        <v>22</v>
      </c>
      <c r="T89" s="72">
        <v>23</v>
      </c>
      <c r="U89" s="72">
        <v>24</v>
      </c>
      <c r="V89" s="72">
        <v>25</v>
      </c>
    </row>
    <row r="90">
      <c r="B90" s="63" t="s">
        <v>369</v>
      </c>
      <c r="C90" s="71">
        <f t="shared" ref="C90:V90" si="34">(1+0.01*C87+0.01*C89+0.0001*C87*C89)</f>
        <v>1.0506</v>
      </c>
      <c r="D90" s="71">
        <f t="shared" si="34"/>
        <v>1.1024</v>
      </c>
      <c r="E90" s="71">
        <f t="shared" si="34"/>
        <v>1.1554000000000002</v>
      </c>
      <c r="F90" s="71">
        <f t="shared" si="34"/>
        <v>1.1984000000000001</v>
      </c>
      <c r="G90" s="71">
        <f t="shared" si="34"/>
        <v>1.2535000000000001</v>
      </c>
      <c r="H90" s="71">
        <f t="shared" si="34"/>
        <v>1.298</v>
      </c>
      <c r="I90" s="71">
        <f t="shared" si="34"/>
        <v>1.3552000000000002</v>
      </c>
      <c r="J90" s="71">
        <f t="shared" si="34"/>
        <v>1.4012</v>
      </c>
      <c r="K90" s="71">
        <f t="shared" si="34"/>
        <v>1.4478000000000002</v>
      </c>
      <c r="L90" s="71">
        <f t="shared" si="34"/>
        <v>1.4949999999999999</v>
      </c>
      <c r="M90" s="71">
        <f t="shared" si="34"/>
        <v>1.5427999999999999</v>
      </c>
      <c r="N90" s="71">
        <f t="shared" si="34"/>
        <v>1.5911999999999997</v>
      </c>
      <c r="O90" s="71">
        <f t="shared" si="34"/>
        <v>1.6402000000000001</v>
      </c>
      <c r="P90" s="71">
        <f t="shared" si="34"/>
        <v>1.6898</v>
      </c>
      <c r="Q90" s="71">
        <f t="shared" si="34"/>
        <v>1.74</v>
      </c>
      <c r="R90" s="71">
        <f t="shared" si="34"/>
        <v>1.7907999999999999</v>
      </c>
      <c r="S90" s="71">
        <f t="shared" si="34"/>
        <v>1.8422000000000001</v>
      </c>
      <c r="T90" s="71">
        <f t="shared" si="34"/>
        <v>1.8942000000000001</v>
      </c>
      <c r="U90" s="71">
        <f t="shared" si="34"/>
        <v>1.9468000000000001</v>
      </c>
      <c r="V90" s="71">
        <f t="shared" si="34"/>
        <v>2</v>
      </c>
    </row>
    <row r="96">
      <c r="E96" t="s">
        <v>370</v>
      </c>
    </row>
    <row r="97">
      <c r="B97">
        <v>7</v>
      </c>
      <c r="H97">
        <v>8</v>
      </c>
      <c r="J97" t="s">
        <v>371</v>
      </c>
      <c r="N97">
        <v>9</v>
      </c>
      <c r="S97" t="s">
        <v>372</v>
      </c>
      <c r="U97" t="s">
        <v>373</v>
      </c>
    </row>
    <row r="98">
      <c r="U98" t="s">
        <v>374</v>
      </c>
    </row>
    <row r="99">
      <c r="B99">
        <v>1</v>
      </c>
      <c r="C99">
        <v>1</v>
      </c>
      <c r="H99">
        <v>1</v>
      </c>
      <c r="J99">
        <v>3</v>
      </c>
      <c r="N99">
        <v>1</v>
      </c>
      <c r="O99">
        <v>5</v>
      </c>
      <c r="S99" t="s">
        <v>375</v>
      </c>
      <c r="U99" t="s">
        <v>376</v>
      </c>
    </row>
    <row r="100">
      <c r="B100">
        <v>2</v>
      </c>
      <c r="H100">
        <v>2</v>
      </c>
      <c r="J100">
        <v>2</v>
      </c>
      <c r="N100">
        <v>2</v>
      </c>
      <c r="O100">
        <v>4</v>
      </c>
    </row>
    <row r="101">
      <c r="H101">
        <v>3</v>
      </c>
      <c r="J101">
        <v>1</v>
      </c>
      <c r="N101">
        <v>3</v>
      </c>
      <c r="O101">
        <v>3</v>
      </c>
      <c r="U101" t="s">
        <v>377</v>
      </c>
    </row>
    <row r="102">
      <c r="H102">
        <v>4</v>
      </c>
      <c r="N102">
        <v>4</v>
      </c>
      <c r="O102">
        <v>2</v>
      </c>
      <c r="U102" t="s">
        <v>378</v>
      </c>
    </row>
    <row r="103">
      <c r="N103">
        <v>5</v>
      </c>
      <c r="O103">
        <v>1</v>
      </c>
    </row>
    <row r="104">
      <c r="N104">
        <v>6</v>
      </c>
      <c r="U104" t="s">
        <v>379</v>
      </c>
    </row>
    <row r="105">
      <c r="U105" t="s">
        <v>380</v>
      </c>
    </row>
    <row r="106">
      <c r="B106" t="s">
        <v>381</v>
      </c>
      <c r="C106" t="s">
        <v>382</v>
      </c>
      <c r="D106" t="s">
        <v>383</v>
      </c>
      <c r="E106" t="s">
        <v>384</v>
      </c>
      <c r="F106" t="s">
        <v>385</v>
      </c>
      <c r="G106" t="s">
        <v>386</v>
      </c>
      <c r="J106">
        <v>5</v>
      </c>
      <c r="K106">
        <v>8</v>
      </c>
    </row>
    <row r="107">
      <c r="J107">
        <v>63</v>
      </c>
      <c r="K107">
        <v>74</v>
      </c>
      <c r="U107" t="s">
        <v>387</v>
      </c>
    </row>
    <row r="108">
      <c r="U108" t="s">
        <v>388</v>
      </c>
    </row>
    <row r="109">
      <c r="U109" t="s">
        <v>389</v>
      </c>
    </row>
    <row r="112">
      <c r="B112" s="74" t="s">
        <v>241</v>
      </c>
      <c r="C112" s="60" t="s">
        <v>390</v>
      </c>
      <c r="E112" t="s">
        <v>391</v>
      </c>
      <c r="F112" t="s">
        <v>392</v>
      </c>
      <c r="I112" t="s">
        <v>302</v>
      </c>
      <c r="K112" t="s">
        <v>393</v>
      </c>
      <c r="M112" t="s">
        <v>394</v>
      </c>
      <c r="N112" t="s">
        <v>395</v>
      </c>
      <c r="O112" t="s">
        <v>396</v>
      </c>
    </row>
    <row r="113">
      <c r="B113" t="s">
        <v>244</v>
      </c>
      <c r="C113" s="60" t="s">
        <v>397</v>
      </c>
      <c r="E113" t="s">
        <v>398</v>
      </c>
      <c r="F113" t="s">
        <v>399</v>
      </c>
      <c r="K113" t="s">
        <v>356</v>
      </c>
      <c r="M113" t="s">
        <v>309</v>
      </c>
      <c r="N113" t="s">
        <v>400</v>
      </c>
      <c r="O113" t="s">
        <v>401</v>
      </c>
    </row>
    <row r="114">
      <c r="B114" t="s">
        <v>288</v>
      </c>
      <c r="C114" s="60" t="s">
        <v>402</v>
      </c>
      <c r="E114" t="s">
        <v>403</v>
      </c>
      <c r="F114" t="s">
        <v>404</v>
      </c>
      <c r="I114" t="s">
        <v>327</v>
      </c>
      <c r="K114" t="s">
        <v>352</v>
      </c>
      <c r="M114" t="s">
        <v>405</v>
      </c>
      <c r="N114" t="s">
        <v>406</v>
      </c>
      <c r="O114" t="s">
        <v>407</v>
      </c>
    </row>
    <row r="115">
      <c r="B115" t="s">
        <v>296</v>
      </c>
      <c r="C115" s="60" t="s">
        <v>408</v>
      </c>
      <c r="E115" t="s">
        <v>409</v>
      </c>
      <c r="F115" t="s">
        <v>410</v>
      </c>
      <c r="K115" t="s">
        <v>336</v>
      </c>
      <c r="M115" t="s">
        <v>411</v>
      </c>
      <c r="N115" t="s">
        <v>412</v>
      </c>
      <c r="O115" t="s">
        <v>413</v>
      </c>
    </row>
    <row r="116">
      <c r="B116" t="s">
        <v>245</v>
      </c>
      <c r="C116" s="75" t="s">
        <v>414</v>
      </c>
      <c r="E116" t="s">
        <v>415</v>
      </c>
      <c r="F116" t="s">
        <v>416</v>
      </c>
      <c r="K116" t="s">
        <v>417</v>
      </c>
      <c r="M116" t="s">
        <v>418</v>
      </c>
      <c r="N116" t="s">
        <v>419</v>
      </c>
      <c r="O116" t="s">
        <v>340</v>
      </c>
    </row>
    <row r="117">
      <c r="B117" t="s">
        <v>420</v>
      </c>
      <c r="C117" s="75" t="s">
        <v>421</v>
      </c>
      <c r="E117" t="s">
        <v>422</v>
      </c>
      <c r="F117" t="s">
        <v>423</v>
      </c>
      <c r="K117" t="s">
        <v>424</v>
      </c>
      <c r="M117" t="s">
        <v>425</v>
      </c>
      <c r="N117" t="s">
        <v>426</v>
      </c>
      <c r="O117" t="s">
        <v>427</v>
      </c>
    </row>
    <row r="118">
      <c r="B118" s="76" t="s">
        <v>428</v>
      </c>
      <c r="C118" s="75" t="s">
        <v>429</v>
      </c>
    </row>
    <row r="119">
      <c r="B119" s="76" t="s">
        <v>430</v>
      </c>
      <c r="C119" s="75" t="s">
        <v>431</v>
      </c>
    </row>
    <row r="120">
      <c r="B120" s="76" t="s">
        <v>432</v>
      </c>
      <c r="C120" s="60" t="s">
        <v>433</v>
      </c>
    </row>
    <row r="121">
      <c r="B121" t="s">
        <v>230</v>
      </c>
      <c r="C121" s="60" t="s">
        <v>434</v>
      </c>
      <c r="E121" t="s">
        <v>435</v>
      </c>
      <c r="F121" t="s">
        <v>436</v>
      </c>
    </row>
    <row r="122">
      <c r="B122" t="s">
        <v>233</v>
      </c>
      <c r="C122" s="60" t="s">
        <v>437</v>
      </c>
      <c r="E122" t="s">
        <v>438</v>
      </c>
      <c r="F122" t="s">
        <v>439</v>
      </c>
    </row>
    <row r="123">
      <c r="B123" t="s">
        <v>279</v>
      </c>
      <c r="C123" s="60" t="s">
        <v>440</v>
      </c>
      <c r="E123" t="s">
        <v>441</v>
      </c>
      <c r="F123" t="s">
        <v>442</v>
      </c>
    </row>
    <row r="124">
      <c r="B124" t="s">
        <v>259</v>
      </c>
      <c r="C124" s="75" t="s">
        <v>443</v>
      </c>
    </row>
    <row r="125">
      <c r="B125" t="s">
        <v>231</v>
      </c>
      <c r="C125" s="75" t="s">
        <v>444</v>
      </c>
      <c r="E125" t="s">
        <v>445</v>
      </c>
      <c r="F125" t="s">
        <v>446</v>
      </c>
    </row>
    <row r="126">
      <c r="B126" t="s">
        <v>286</v>
      </c>
      <c r="C126" s="75" t="s">
        <v>447</v>
      </c>
      <c r="E126" t="s">
        <v>448</v>
      </c>
      <c r="F126" t="s">
        <v>449</v>
      </c>
    </row>
    <row r="127">
      <c r="C127" s="75" t="s">
        <v>450</v>
      </c>
      <c r="E127" t="s">
        <v>451</v>
      </c>
      <c r="F127" t="s">
        <v>452</v>
      </c>
    </row>
    <row r="129">
      <c r="B129" t="s">
        <v>246</v>
      </c>
      <c r="C129" s="75" t="s">
        <v>453</v>
      </c>
    </row>
    <row r="130">
      <c r="B130" t="s">
        <v>278</v>
      </c>
      <c r="C130" s="75" t="s">
        <v>454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H23" activeCellId="0" sqref="H23"/>
    </sheetView>
  </sheetViews>
  <sheetFormatPr defaultRowHeight="15"/>
  <cols>
    <col customWidth="1" min="1" max="1" width="8"/>
    <col customWidth="1" min="2" max="2" width="13.85546875"/>
    <col customWidth="1" min="3" max="3" width="7.85546875"/>
    <col customWidth="1" min="4" max="4" width="7.140625"/>
    <col customWidth="1" min="5" max="5" width="9.42578125"/>
    <col customWidth="1" min="6" max="6" width="9.85546875"/>
    <col customWidth="1" min="7" max="7" width="10.7109375"/>
    <col customWidth="1" min="13" max="13" width="11.140625"/>
    <col customWidth="1" min="14" max="14" width="20.7109375"/>
    <col customWidth="1" min="15" max="15" width="7.42578125"/>
  </cols>
  <sheetData>
    <row r="1">
      <c r="A1" s="43" t="s">
        <v>455</v>
      </c>
      <c r="B1" s="43" t="s">
        <v>456</v>
      </c>
      <c r="C1" s="43" t="s">
        <v>457</v>
      </c>
      <c r="D1" s="43" t="s">
        <v>458</v>
      </c>
    </row>
    <row r="2">
      <c r="A2" s="43">
        <v>8</v>
      </c>
      <c r="B2" s="43">
        <f>A2*0.4</f>
        <v>3.2000000000000002</v>
      </c>
      <c r="C2" s="43">
        <v>120</v>
      </c>
      <c r="D2" s="43">
        <v>3</v>
      </c>
      <c r="E2" s="43"/>
    </row>
    <row r="3" ht="15.75"/>
    <row r="4" ht="15.75">
      <c r="B4" s="77" t="s">
        <v>153</v>
      </c>
      <c r="C4" s="43"/>
      <c r="D4" s="43"/>
      <c r="E4" s="77" t="s">
        <v>459</v>
      </c>
      <c r="F4" s="77" t="s">
        <v>460</v>
      </c>
      <c r="G4" s="77" t="s">
        <v>461</v>
      </c>
      <c r="H4" s="43"/>
      <c r="I4" s="77" t="s">
        <v>462</v>
      </c>
      <c r="J4" s="77" t="s">
        <v>463</v>
      </c>
      <c r="K4" s="43"/>
      <c r="L4" s="77" t="s">
        <v>464</v>
      </c>
      <c r="M4" s="43"/>
      <c r="N4" s="43"/>
      <c r="O4" s="43"/>
      <c r="P4" s="43"/>
      <c r="Q4" s="43"/>
      <c r="R4" s="43"/>
      <c r="S4" s="43"/>
    </row>
    <row r="5">
      <c r="B5" s="78">
        <v>1</v>
      </c>
      <c r="C5" s="43"/>
      <c r="D5" s="43"/>
      <c r="E5" s="78">
        <v>50</v>
      </c>
      <c r="F5" s="78">
        <f t="shared" ref="F5:F19" si="35">E5*$B$2</f>
        <v>160</v>
      </c>
      <c r="G5" s="78">
        <f t="shared" ref="G5:G19" si="36">$C$2*$D$2+E5</f>
        <v>410</v>
      </c>
      <c r="H5" s="43"/>
      <c r="I5" s="78">
        <f t="shared" ref="I5:I19" si="37">(F5/5.3544563483342)*5</f>
        <v>149.40825883264213</v>
      </c>
      <c r="J5" s="78">
        <f t="shared" ref="J5:J19" si="38">(F5/0.18159375101708)*5</f>
        <v>4405.4379378107296</v>
      </c>
      <c r="K5" s="43"/>
      <c r="L5" s="78">
        <f t="shared" ref="L5:L19" si="39">F5*10</f>
        <v>1600</v>
      </c>
      <c r="M5" s="43"/>
      <c r="N5" s="43"/>
      <c r="O5" s="43"/>
      <c r="P5" s="43"/>
      <c r="Q5" s="43"/>
      <c r="R5" s="43"/>
      <c r="S5" s="43"/>
    </row>
    <row r="6">
      <c r="B6" s="79">
        <v>2</v>
      </c>
      <c r="C6" s="43"/>
      <c r="D6" s="43"/>
      <c r="E6" s="79">
        <f t="shared" ref="E6:E19" si="40">E5+(G5/10)</f>
        <v>91</v>
      </c>
      <c r="F6" s="79">
        <f t="shared" si="35"/>
        <v>291.19999999999999</v>
      </c>
      <c r="G6" s="79">
        <f t="shared" si="36"/>
        <v>451</v>
      </c>
      <c r="H6" s="43"/>
      <c r="I6" s="79">
        <f t="shared" si="37"/>
        <v>271.92303107540869</v>
      </c>
      <c r="J6" s="79">
        <f t="shared" si="38"/>
        <v>8017.8970468155276</v>
      </c>
      <c r="K6" s="43"/>
      <c r="L6" s="79">
        <f t="shared" si="39"/>
        <v>2912</v>
      </c>
      <c r="M6" s="43"/>
      <c r="N6" s="43"/>
      <c r="O6" s="43"/>
      <c r="P6" s="43"/>
      <c r="Q6" s="43"/>
      <c r="R6" s="43"/>
      <c r="S6" s="43"/>
    </row>
    <row r="7" ht="15.75">
      <c r="B7" s="80">
        <v>3</v>
      </c>
      <c r="C7" s="43"/>
      <c r="D7" s="43"/>
      <c r="E7" s="80">
        <f t="shared" si="40"/>
        <v>136.09999999999999</v>
      </c>
      <c r="F7" s="80">
        <f t="shared" si="35"/>
        <v>435.51999999999998</v>
      </c>
      <c r="G7" s="80">
        <f t="shared" si="36"/>
        <v>496.10000000000002</v>
      </c>
      <c r="H7" s="43"/>
      <c r="I7" s="80">
        <f t="shared" si="37"/>
        <v>406.68928054245191</v>
      </c>
      <c r="J7" s="80">
        <f t="shared" si="38"/>
        <v>11991.602066720805</v>
      </c>
      <c r="K7" s="43"/>
      <c r="L7" s="80">
        <f t="shared" si="39"/>
        <v>4355.1999999999998</v>
      </c>
      <c r="M7" s="43"/>
      <c r="N7" s="43"/>
      <c r="O7" s="43"/>
      <c r="P7" s="43"/>
      <c r="Q7" s="43"/>
      <c r="R7" s="43"/>
      <c r="S7" s="43"/>
    </row>
    <row r="8" ht="15.75">
      <c r="B8" s="81">
        <v>4</v>
      </c>
      <c r="C8" s="43"/>
      <c r="D8" s="43"/>
      <c r="E8" s="82">
        <f t="shared" si="40"/>
        <v>185.70999999999998</v>
      </c>
      <c r="F8" s="83">
        <f t="shared" si="35"/>
        <v>594.27199999999993</v>
      </c>
      <c r="G8" s="84">
        <f t="shared" si="36"/>
        <v>545.71000000000004</v>
      </c>
      <c r="H8" s="43"/>
      <c r="I8" s="82">
        <f t="shared" si="37"/>
        <v>554.93215495619938</v>
      </c>
      <c r="J8" s="84">
        <f t="shared" si="38"/>
        <v>16362.677588616609</v>
      </c>
      <c r="K8" s="43"/>
      <c r="L8" s="85">
        <f t="shared" si="39"/>
        <v>5942.7199999999993</v>
      </c>
      <c r="M8" s="43"/>
      <c r="N8" s="43"/>
      <c r="O8" s="43"/>
      <c r="P8" s="43"/>
      <c r="Q8" s="43"/>
      <c r="R8" s="43"/>
      <c r="S8" s="43"/>
    </row>
    <row r="9">
      <c r="B9" s="78">
        <v>5</v>
      </c>
      <c r="C9" s="43"/>
      <c r="D9" s="43"/>
      <c r="E9" s="78">
        <f t="shared" si="40"/>
        <v>240.28099999999998</v>
      </c>
      <c r="F9" s="78">
        <f t="shared" si="35"/>
        <v>768.89919999999995</v>
      </c>
      <c r="G9" s="78">
        <f t="shared" si="36"/>
        <v>600.28099999999995</v>
      </c>
      <c r="H9" s="43"/>
      <c r="I9" s="78">
        <f t="shared" si="37"/>
        <v>717.99931681132171</v>
      </c>
      <c r="J9" s="78">
        <f t="shared" si="38"/>
        <v>21170.860662701998</v>
      </c>
      <c r="K9" s="43"/>
      <c r="L9" s="78">
        <f t="shared" si="39"/>
        <v>7688.9919999999993</v>
      </c>
      <c r="M9" s="43"/>
      <c r="N9" s="43"/>
      <c r="O9" s="43"/>
      <c r="P9" s="43"/>
      <c r="Q9" s="43"/>
      <c r="R9" s="43"/>
      <c r="S9" s="43"/>
    </row>
    <row r="10">
      <c r="B10" s="79">
        <v>6</v>
      </c>
      <c r="C10" s="43"/>
      <c r="D10" s="43"/>
      <c r="E10" s="79">
        <f t="shared" si="40"/>
        <v>300.30909999999994</v>
      </c>
      <c r="F10" s="79">
        <f t="shared" si="35"/>
        <v>960.98911999999984</v>
      </c>
      <c r="G10" s="79">
        <f t="shared" si="36"/>
        <v>660.30909999999994</v>
      </c>
      <c r="H10" s="43"/>
      <c r="I10" s="79">
        <f t="shared" si="37"/>
        <v>897.3731948519561</v>
      </c>
      <c r="J10" s="79">
        <f t="shared" si="38"/>
        <v>26459.862044195921</v>
      </c>
      <c r="K10" s="43"/>
      <c r="L10" s="79">
        <f t="shared" si="39"/>
        <v>9609.8911999999982</v>
      </c>
      <c r="M10" s="43"/>
      <c r="N10" s="43"/>
      <c r="O10" s="43"/>
      <c r="P10" s="43"/>
      <c r="Q10" s="43"/>
      <c r="R10" s="43"/>
      <c r="S10" s="43"/>
    </row>
    <row r="11" ht="15.75">
      <c r="B11" s="80">
        <v>7</v>
      </c>
      <c r="C11" s="43"/>
      <c r="D11" s="43"/>
      <c r="E11" s="80">
        <f t="shared" si="40"/>
        <v>366.34000999999995</v>
      </c>
      <c r="F11" s="80">
        <f t="shared" si="35"/>
        <v>1172.2880319999999</v>
      </c>
      <c r="G11" s="80">
        <f t="shared" si="36"/>
        <v>726.34000999999989</v>
      </c>
      <c r="H11" s="43"/>
      <c r="I11" s="80">
        <f t="shared" si="37"/>
        <v>1094.6844606966542</v>
      </c>
      <c r="J11" s="80">
        <f t="shared" si="38"/>
        <v>32277.763563839238</v>
      </c>
      <c r="K11" s="43"/>
      <c r="L11" s="80">
        <f t="shared" si="39"/>
        <v>11722.88032</v>
      </c>
      <c r="M11" s="43"/>
      <c r="N11" s="43"/>
      <c r="O11" s="43"/>
      <c r="P11" s="43"/>
      <c r="Q11" s="43"/>
      <c r="R11" s="43"/>
      <c r="S11" s="43"/>
    </row>
    <row r="12" ht="15.75">
      <c r="B12" s="81">
        <v>8</v>
      </c>
      <c r="C12" s="43"/>
      <c r="D12" s="43"/>
      <c r="E12" s="82">
        <f t="shared" si="40"/>
        <v>438.9740109999999</v>
      </c>
      <c r="F12" s="83">
        <f t="shared" si="35"/>
        <v>1404.7168351999999</v>
      </c>
      <c r="G12" s="84">
        <f t="shared" si="36"/>
        <v>798.9740109999999</v>
      </c>
      <c r="H12" s="43"/>
      <c r="I12" s="82">
        <f t="shared" si="37"/>
        <v>1311.7268531258219</v>
      </c>
      <c r="J12" s="84">
        <f t="shared" si="38"/>
        <v>38677.455235446891</v>
      </c>
      <c r="K12" s="43"/>
      <c r="L12" s="85">
        <f t="shared" si="39"/>
        <v>14047.168351999999</v>
      </c>
      <c r="M12" s="43"/>
      <c r="N12" s="43"/>
      <c r="O12" s="43"/>
      <c r="P12" s="43"/>
      <c r="Q12" s="43"/>
      <c r="R12" s="43"/>
      <c r="S12" s="43"/>
    </row>
    <row r="13">
      <c r="B13" s="78">
        <v>9</v>
      </c>
      <c r="C13" s="43"/>
      <c r="D13" s="43"/>
      <c r="E13" s="78">
        <f t="shared" si="40"/>
        <v>518.87141209999993</v>
      </c>
      <c r="F13" s="78">
        <f t="shared" si="35"/>
        <v>1660.3885187199999</v>
      </c>
      <c r="G13" s="78">
        <f t="shared" si="36"/>
        <v>878.87141209999993</v>
      </c>
      <c r="H13" s="43"/>
      <c r="I13" s="78">
        <f t="shared" si="37"/>
        <v>1550.4734847979066</v>
      </c>
      <c r="J13" s="78">
        <f t="shared" si="38"/>
        <v>45717.116074215301</v>
      </c>
      <c r="K13" s="43"/>
      <c r="L13" s="78">
        <f t="shared" si="39"/>
        <v>16603.885187199998</v>
      </c>
      <c r="M13" s="43"/>
      <c r="N13" s="43"/>
      <c r="O13" s="43"/>
      <c r="P13" s="43"/>
      <c r="Q13" s="43"/>
      <c r="R13" s="43"/>
      <c r="S13" s="43"/>
    </row>
    <row r="14">
      <c r="B14" s="79">
        <v>10</v>
      </c>
      <c r="C14" s="43"/>
      <c r="D14" s="43"/>
      <c r="E14" s="79">
        <f t="shared" si="40"/>
        <v>606.75855330999991</v>
      </c>
      <c r="F14" s="79">
        <f t="shared" si="35"/>
        <v>1941.6273705919998</v>
      </c>
      <c r="G14" s="79">
        <f t="shared" si="36"/>
        <v>966.75855330999991</v>
      </c>
      <c r="H14" s="43"/>
      <c r="I14" s="79">
        <f t="shared" si="37"/>
        <v>1813.0947796371993</v>
      </c>
      <c r="J14" s="79">
        <f t="shared" si="38"/>
        <v>53460.742996860557</v>
      </c>
      <c r="K14" s="43"/>
      <c r="L14" s="79">
        <f t="shared" si="39"/>
        <v>19416.273705919997</v>
      </c>
      <c r="M14" s="43"/>
      <c r="N14" s="43"/>
      <c r="O14" s="43"/>
      <c r="P14" s="43"/>
      <c r="Q14" s="43"/>
      <c r="R14" s="43"/>
      <c r="S14" s="43"/>
    </row>
    <row r="15" ht="15.75">
      <c r="B15" s="80">
        <v>11</v>
      </c>
      <c r="C15" s="43"/>
      <c r="D15" s="43"/>
      <c r="E15" s="80">
        <f t="shared" si="40"/>
        <v>703.43440864099989</v>
      </c>
      <c r="F15" s="80">
        <f t="shared" si="35"/>
        <v>2250.9901076511997</v>
      </c>
      <c r="G15" s="80">
        <f t="shared" si="36"/>
        <v>1063.4344086409999</v>
      </c>
      <c r="H15" s="43"/>
      <c r="I15" s="80">
        <f t="shared" si="37"/>
        <v>2101.9782039604215</v>
      </c>
      <c r="J15" s="80">
        <f t="shared" si="38"/>
        <v>61978.732611770327</v>
      </c>
      <c r="K15" s="43"/>
      <c r="L15" s="80">
        <f t="shared" si="39"/>
        <v>22509.901076511997</v>
      </c>
      <c r="M15" s="43"/>
      <c r="N15" s="43"/>
      <c r="O15" s="43"/>
      <c r="P15" s="43"/>
      <c r="Q15" s="43"/>
      <c r="R15" s="43"/>
      <c r="S15" s="43"/>
    </row>
    <row r="16" ht="15.75">
      <c r="B16" s="81">
        <v>12</v>
      </c>
      <c r="C16" s="43"/>
      <c r="D16" s="43"/>
      <c r="E16" s="82">
        <f t="shared" si="40"/>
        <v>809.77784950509988</v>
      </c>
      <c r="F16" s="83">
        <f t="shared" si="35"/>
        <v>2591.28911841632</v>
      </c>
      <c r="G16" s="84">
        <f t="shared" si="36"/>
        <v>1169.7778495050998</v>
      </c>
      <c r="H16" s="43"/>
      <c r="I16" s="82">
        <f t="shared" si="37"/>
        <v>2419.7499707159664</v>
      </c>
      <c r="J16" s="84">
        <f t="shared" si="38"/>
        <v>71348.5211881711</v>
      </c>
      <c r="K16" s="43"/>
      <c r="L16" s="85">
        <f t="shared" si="39"/>
        <v>25912.8911841632</v>
      </c>
      <c r="M16" s="43"/>
      <c r="N16" s="43"/>
      <c r="O16" s="43"/>
      <c r="P16" s="43"/>
      <c r="Q16" s="43"/>
      <c r="R16" s="43"/>
      <c r="S16" s="43"/>
    </row>
    <row r="17">
      <c r="B17" s="78">
        <v>13</v>
      </c>
      <c r="C17" s="43"/>
      <c r="D17" s="43"/>
      <c r="E17" s="78">
        <f t="shared" si="40"/>
        <v>926.75563445560988</v>
      </c>
      <c r="F17" s="78">
        <f t="shared" si="35"/>
        <v>2965.6180302579519</v>
      </c>
      <c r="G17" s="78">
        <f t="shared" si="36"/>
        <v>1286.7556344556099</v>
      </c>
      <c r="H17" s="43"/>
      <c r="I17" s="78">
        <f t="shared" si="37"/>
        <v>2769.2989141470653</v>
      </c>
      <c r="J17" s="78">
        <f t="shared" si="38"/>
        <v>81655.288622211941</v>
      </c>
      <c r="K17" s="43"/>
      <c r="L17" s="78">
        <f t="shared" si="39"/>
        <v>29656.18030257952</v>
      </c>
      <c r="M17" s="43"/>
      <c r="N17" s="43"/>
      <c r="O17" s="43"/>
      <c r="P17" s="43"/>
      <c r="Q17" s="43"/>
      <c r="R17" s="43"/>
      <c r="S17" s="43"/>
    </row>
    <row r="18">
      <c r="B18" s="79">
        <v>14</v>
      </c>
      <c r="C18" s="43"/>
      <c r="D18" s="43"/>
      <c r="E18" s="79">
        <f t="shared" si="40"/>
        <v>1055.4311979011709</v>
      </c>
      <c r="F18" s="79">
        <f t="shared" si="35"/>
        <v>3377.3798332837468</v>
      </c>
      <c r="G18" s="79">
        <f t="shared" si="36"/>
        <v>1415.4311979011709</v>
      </c>
      <c r="H18" s="43"/>
      <c r="I18" s="79">
        <f t="shared" si="37"/>
        <v>3153.8027519212737</v>
      </c>
      <c r="J18" s="79">
        <f t="shared" si="38"/>
        <v>92992.732799656835</v>
      </c>
      <c r="K18" s="43"/>
      <c r="L18" s="79">
        <f t="shared" si="39"/>
        <v>33773.798332837468</v>
      </c>
      <c r="M18" s="43"/>
      <c r="N18" s="43"/>
      <c r="O18" s="43"/>
      <c r="P18" s="43"/>
      <c r="Q18" s="43"/>
      <c r="R18" s="43"/>
      <c r="S18" s="43"/>
    </row>
    <row r="19">
      <c r="B19" s="79">
        <v>15</v>
      </c>
      <c r="C19" s="43"/>
      <c r="D19" s="43"/>
      <c r="E19" s="79">
        <f t="shared" si="40"/>
        <v>1196.974317691288</v>
      </c>
      <c r="F19" s="79">
        <f t="shared" si="35"/>
        <v>3830.3178166121215</v>
      </c>
      <c r="G19" s="79">
        <f t="shared" si="36"/>
        <v>1556.974317691288</v>
      </c>
      <c r="H19" s="43"/>
      <c r="I19" s="79">
        <f t="shared" si="37"/>
        <v>3576.7569734729041</v>
      </c>
      <c r="J19" s="79">
        <f t="shared" si="38"/>
        <v>105463.92139484626</v>
      </c>
      <c r="K19" s="43"/>
      <c r="L19" s="79">
        <f t="shared" si="39"/>
        <v>38303.178166121215</v>
      </c>
      <c r="M19" s="43"/>
      <c r="N19" s="43"/>
      <c r="O19" s="43"/>
      <c r="P19" s="43"/>
      <c r="Q19" s="43"/>
      <c r="R19" s="43"/>
      <c r="S19" s="43"/>
    </row>
    <row r="20"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</row>
    <row r="21"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</row>
    <row r="26">
      <c r="S26" s="43"/>
    </row>
    <row r="27">
      <c r="B27" s="86"/>
      <c r="C27" s="87"/>
      <c r="D27" s="87"/>
      <c r="E27" s="87"/>
      <c r="F27" s="87"/>
      <c r="G27" s="87"/>
      <c r="H27" s="87"/>
      <c r="I27" s="88"/>
      <c r="J27" s="46"/>
      <c r="K27" s="89"/>
      <c r="L27" s="89"/>
      <c r="M27" s="89"/>
      <c r="N27" s="89"/>
      <c r="O27" s="89"/>
      <c r="P27" s="46"/>
      <c r="Q27" s="90"/>
      <c r="R27" s="90"/>
      <c r="S27" s="43"/>
      <c r="U27" s="91"/>
    </row>
    <row r="28">
      <c r="B28" s="92" t="s">
        <v>1</v>
      </c>
      <c r="C28" s="92" t="s">
        <v>2</v>
      </c>
      <c r="D28" s="92" t="s">
        <v>3</v>
      </c>
      <c r="E28" s="92" t="s">
        <v>4</v>
      </c>
      <c r="F28" s="92" t="s">
        <v>465</v>
      </c>
      <c r="G28" s="92" t="s">
        <v>6</v>
      </c>
      <c r="H28" s="93" t="s">
        <v>7</v>
      </c>
      <c r="I28" s="93" t="s">
        <v>8</v>
      </c>
      <c r="K28" s="92" t="s">
        <v>9</v>
      </c>
      <c r="L28" s="92" t="s">
        <v>10</v>
      </c>
      <c r="M28" s="92" t="s">
        <v>11</v>
      </c>
      <c r="N28" s="92" t="s">
        <v>12</v>
      </c>
      <c r="O28" s="93" t="s">
        <v>13</v>
      </c>
      <c r="P28" s="46"/>
      <c r="Q28" s="93" t="s">
        <v>14</v>
      </c>
      <c r="R28" s="93" t="s">
        <v>15</v>
      </c>
      <c r="S28" s="43"/>
      <c r="U28" s="94" t="s">
        <v>466</v>
      </c>
    </row>
    <row r="29" ht="15.75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</row>
    <row r="30" ht="15.75">
      <c r="A30" s="95">
        <f>R30/L8</f>
        <v>0.98301064885805356</v>
      </c>
      <c r="B30" s="96">
        <v>381</v>
      </c>
      <c r="C30" s="97">
        <v>1</v>
      </c>
      <c r="D30" s="97">
        <v>9</v>
      </c>
      <c r="E30" s="97">
        <v>1.9199999999999999</v>
      </c>
      <c r="F30" s="97">
        <f>(2*B30+C30+D30)/(E30*2)</f>
        <v>201.04166666666669</v>
      </c>
      <c r="G30" s="97">
        <v>600</v>
      </c>
      <c r="H30" s="98">
        <f>F30*5.3544563483342</f>
        <v>1076.4688283630214</v>
      </c>
      <c r="I30" s="99">
        <f>(10000/F30)/((10000/F30)-(G30/300))</f>
        <v>1.0418927718688951</v>
      </c>
      <c r="J30" s="43"/>
      <c r="K30" s="100">
        <v>16200</v>
      </c>
      <c r="L30" s="101">
        <v>9</v>
      </c>
      <c r="M30" s="101">
        <v>0.059999999999999998</v>
      </c>
      <c r="N30" s="101">
        <f>K30*(L30*M30+1)</f>
        <v>24948</v>
      </c>
      <c r="O30" s="99">
        <f>N30*0.18159375101708</f>
        <v>4530.4009003741121</v>
      </c>
      <c r="P30" s="43"/>
      <c r="Q30" s="102">
        <v>0</v>
      </c>
      <c r="R30" s="99">
        <f>(H30+O30+Q30)*I30</f>
        <v>5841.7570431817312</v>
      </c>
      <c r="S30" s="43">
        <f>(R30/300)</f>
        <v>19.472523477272436</v>
      </c>
    </row>
    <row r="31">
      <c r="S31" s="43"/>
    </row>
  </sheetData>
  <mergeCells count="3">
    <mergeCell ref="B27:I27"/>
    <mergeCell ref="K27:O27"/>
    <mergeCell ref="Q27:R2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16" zoomScale="100" workbookViewId="0">
      <selection activeCell="U20" activeCellId="0" sqref="U20:Y40"/>
    </sheetView>
  </sheetViews>
  <sheetFormatPr defaultRowHeight="15"/>
  <cols>
    <col customWidth="1" min="1" max="1" width="11.5703125"/>
    <col customWidth="1" min="7" max="7" width="9.140625"/>
  </cols>
  <sheetData>
    <row r="1">
      <c r="A1" s="2"/>
      <c r="B1" s="3"/>
      <c r="C1" s="4"/>
      <c r="D1" s="4"/>
      <c r="E1" s="4"/>
      <c r="F1" s="4"/>
      <c r="G1" s="4"/>
      <c r="H1" s="4"/>
      <c r="I1" s="5"/>
      <c r="J1" s="2"/>
      <c r="K1" s="44"/>
      <c r="L1" s="44"/>
      <c r="M1" s="44"/>
      <c r="N1" s="44"/>
      <c r="O1" s="44"/>
      <c r="P1" s="2"/>
      <c r="Q1" s="10"/>
      <c r="R1" s="11"/>
    </row>
    <row r="2" ht="15.75">
      <c r="A2" s="14" t="s">
        <v>467</v>
      </c>
      <c r="B2" s="15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6" t="s">
        <v>6</v>
      </c>
      <c r="H2" s="17" t="s">
        <v>7</v>
      </c>
      <c r="I2" s="17" t="s">
        <v>8</v>
      </c>
      <c r="J2" s="2"/>
      <c r="K2" s="16" t="s">
        <v>9</v>
      </c>
      <c r="L2" s="16" t="s">
        <v>10</v>
      </c>
      <c r="M2" s="16" t="s">
        <v>11</v>
      </c>
      <c r="N2" s="16" t="s">
        <v>12</v>
      </c>
      <c r="O2" s="17" t="s">
        <v>13</v>
      </c>
      <c r="P2" s="2"/>
      <c r="Q2" s="17" t="s">
        <v>14</v>
      </c>
      <c r="R2" s="19" t="s">
        <v>15</v>
      </c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1"/>
    </row>
    <row r="4">
      <c r="A4" s="40" t="s">
        <v>468</v>
      </c>
      <c r="B4" s="27">
        <v>1</v>
      </c>
      <c r="C4" s="24">
        <v>1</v>
      </c>
      <c r="D4" s="24">
        <v>4</v>
      </c>
      <c r="E4" s="24">
        <v>3.5</v>
      </c>
      <c r="F4" s="24">
        <f t="shared" ref="F4:F9" si="41">(2*B4+C4+D4)/(E4*2)</f>
        <v>1</v>
      </c>
      <c r="G4" s="24"/>
      <c r="H4" s="24">
        <f t="shared" ref="H4:H11" si="42">F4*5.3544563483342</f>
        <v>5.3544563483341996</v>
      </c>
      <c r="I4" s="25">
        <v>1</v>
      </c>
      <c r="J4" s="26"/>
      <c r="K4" s="27">
        <v>6</v>
      </c>
      <c r="L4" s="24">
        <v>0</v>
      </c>
      <c r="M4" s="24">
        <v>0.059999999999999998</v>
      </c>
      <c r="N4" s="24">
        <f t="shared" ref="N4:N11" si="43">K4*(L4*M4+1)</f>
        <v>6</v>
      </c>
      <c r="O4" s="25">
        <f t="shared" ref="O4:O11" si="44">N4*0.18159375101708</f>
        <v>1.0895625061024801</v>
      </c>
      <c r="P4" s="26"/>
      <c r="Q4" s="27">
        <v>0</v>
      </c>
      <c r="R4" s="54">
        <f t="shared" ref="R4:R11" si="45">(H4+O4+Q4)*I4</f>
        <v>6.4440188544366794</v>
      </c>
      <c r="S4" s="103">
        <v>1</v>
      </c>
    </row>
    <row r="5">
      <c r="A5" s="40" t="s">
        <v>469</v>
      </c>
      <c r="B5" s="33">
        <v>3</v>
      </c>
      <c r="C5" s="26">
        <v>2</v>
      </c>
      <c r="D5" s="26">
        <v>5</v>
      </c>
      <c r="E5" s="26">
        <v>2.4500000000000002</v>
      </c>
      <c r="F5" s="26">
        <f t="shared" si="41"/>
        <v>2.6530612244897958</v>
      </c>
      <c r="G5" s="26"/>
      <c r="H5" s="26">
        <f t="shared" si="42"/>
        <v>14.205700515988692</v>
      </c>
      <c r="I5" s="31">
        <f t="shared" ref="I5:I9" si="46">(500/F5)/((500/F5)-(G5/300))</f>
        <v>1</v>
      </c>
      <c r="J5" s="26"/>
      <c r="K5" s="33">
        <v>200</v>
      </c>
      <c r="L5" s="26">
        <v>0</v>
      </c>
      <c r="M5" s="26">
        <v>0.059999999999999998</v>
      </c>
      <c r="N5" s="26">
        <f t="shared" si="43"/>
        <v>200</v>
      </c>
      <c r="O5" s="31">
        <f t="shared" si="44"/>
        <v>36.318750203416002</v>
      </c>
      <c r="P5" s="26"/>
      <c r="Q5" s="33">
        <v>0</v>
      </c>
      <c r="R5" s="48">
        <f t="shared" si="45"/>
        <v>50.524450719404697</v>
      </c>
    </row>
    <row r="6">
      <c r="A6" s="40" t="s">
        <v>470</v>
      </c>
      <c r="B6" s="33">
        <v>13</v>
      </c>
      <c r="C6" s="26">
        <v>1</v>
      </c>
      <c r="D6" s="26">
        <v>4</v>
      </c>
      <c r="E6" s="26">
        <v>2.3500000000000001</v>
      </c>
      <c r="F6" s="26">
        <f t="shared" si="41"/>
        <v>6.5957446808510634</v>
      </c>
      <c r="G6" s="26"/>
      <c r="H6" s="26">
        <f t="shared" si="42"/>
        <v>35.316626978374508</v>
      </c>
      <c r="I6" s="31">
        <f t="shared" si="46"/>
        <v>1</v>
      </c>
      <c r="J6" s="26"/>
      <c r="K6" s="33">
        <v>140</v>
      </c>
      <c r="L6" s="26">
        <v>3</v>
      </c>
      <c r="M6" s="26">
        <v>0.059999999999999998</v>
      </c>
      <c r="N6" s="26">
        <f t="shared" si="43"/>
        <v>165.19999999999999</v>
      </c>
      <c r="O6" s="31">
        <f t="shared" si="44"/>
        <v>29.999287668021616</v>
      </c>
      <c r="P6" s="26"/>
      <c r="Q6" s="33">
        <v>0</v>
      </c>
      <c r="R6" s="48">
        <f t="shared" si="45"/>
        <v>65.315914646396124</v>
      </c>
      <c r="S6" s="103">
        <v>2</v>
      </c>
    </row>
    <row r="7">
      <c r="A7" s="40" t="s">
        <v>471</v>
      </c>
      <c r="B7" s="33">
        <v>3</v>
      </c>
      <c r="C7" s="26">
        <v>1</v>
      </c>
      <c r="D7" s="26">
        <v>2</v>
      </c>
      <c r="E7" s="26">
        <v>2.3500000000000001</v>
      </c>
      <c r="F7" s="26">
        <f t="shared" si="41"/>
        <v>1.9148936170212765</v>
      </c>
      <c r="G7" s="26"/>
      <c r="H7" s="26">
        <f t="shared" si="42"/>
        <v>10.253214284044212</v>
      </c>
      <c r="I7" s="31">
        <f t="shared" si="46"/>
        <v>1</v>
      </c>
      <c r="K7" s="33">
        <v>25</v>
      </c>
      <c r="L7" s="26">
        <v>0</v>
      </c>
      <c r="M7" s="26">
        <v>0.059999999999999998</v>
      </c>
      <c r="N7" s="26">
        <f t="shared" si="43"/>
        <v>25</v>
      </c>
      <c r="O7" s="31">
        <f t="shared" si="44"/>
        <v>4.5398437754270002</v>
      </c>
      <c r="Q7" s="33">
        <v>0</v>
      </c>
      <c r="R7" s="48">
        <f t="shared" si="45"/>
        <v>14.793058059471212</v>
      </c>
      <c r="S7" s="103">
        <v>3</v>
      </c>
    </row>
    <row r="8">
      <c r="A8" s="40" t="s">
        <v>472</v>
      </c>
      <c r="B8" s="33">
        <v>16</v>
      </c>
      <c r="C8" s="26">
        <v>1</v>
      </c>
      <c r="D8" s="26">
        <v>4</v>
      </c>
      <c r="E8" s="26">
        <v>2.1499999999999999</v>
      </c>
      <c r="F8" s="26">
        <f t="shared" si="41"/>
        <v>8.6046511627906987</v>
      </c>
      <c r="G8" s="26">
        <v>400</v>
      </c>
      <c r="H8" s="26">
        <f t="shared" si="42"/>
        <v>46.07322904380591</v>
      </c>
      <c r="I8" s="31">
        <f t="shared" si="46"/>
        <v>1.023484608060933</v>
      </c>
      <c r="K8" s="33">
        <v>200</v>
      </c>
      <c r="L8" s="26">
        <v>10</v>
      </c>
      <c r="M8" s="26">
        <v>0.059999999999999998</v>
      </c>
      <c r="N8" s="26">
        <f t="shared" si="43"/>
        <v>320</v>
      </c>
      <c r="O8" s="31">
        <f t="shared" si="44"/>
        <v>58.110000325465599</v>
      </c>
      <c r="Q8" s="33">
        <v>4</v>
      </c>
      <c r="R8" s="48">
        <f t="shared" si="45"/>
        <v>110.72387010977488</v>
      </c>
    </row>
    <row r="9">
      <c r="A9" s="40" t="s">
        <v>473</v>
      </c>
      <c r="B9" s="33">
        <v>4</v>
      </c>
      <c r="C9" s="26">
        <v>1</v>
      </c>
      <c r="D9" s="26">
        <v>5</v>
      </c>
      <c r="E9" s="26">
        <v>2.3999999999999999</v>
      </c>
      <c r="F9" s="26">
        <f t="shared" si="41"/>
        <v>2.916666666666667</v>
      </c>
      <c r="G9" s="26">
        <v>350</v>
      </c>
      <c r="H9" s="26">
        <f t="shared" si="42"/>
        <v>15.617164349308084</v>
      </c>
      <c r="I9" s="31">
        <f t="shared" si="46"/>
        <v>1.0068521885051041</v>
      </c>
      <c r="K9" s="33">
        <v>30</v>
      </c>
      <c r="L9" s="26">
        <v>0</v>
      </c>
      <c r="M9" s="26">
        <v>0.059999999999999998</v>
      </c>
      <c r="N9" s="26">
        <f t="shared" si="43"/>
        <v>30</v>
      </c>
      <c r="O9" s="31">
        <f t="shared" si="44"/>
        <v>5.4478125305124001</v>
      </c>
      <c r="Q9" s="33">
        <v>0</v>
      </c>
      <c r="R9" s="48">
        <f t="shared" si="45"/>
        <v>21.209318072256671</v>
      </c>
      <c r="S9" s="103">
        <v>4</v>
      </c>
    </row>
    <row r="10">
      <c r="A10" s="40" t="s">
        <v>474</v>
      </c>
      <c r="B10" s="33">
        <v>42</v>
      </c>
      <c r="C10" s="26">
        <v>1</v>
      </c>
      <c r="D10" s="26">
        <v>7</v>
      </c>
      <c r="E10" s="26">
        <v>2.2000000000000002</v>
      </c>
      <c r="F10" s="26">
        <f t="shared" ref="F10:F17" si="47">(2*B10+C10+D10)/(E10*2)</f>
        <v>20.909090909090907</v>
      </c>
      <c r="G10" s="26"/>
      <c r="H10" s="26">
        <f t="shared" si="42"/>
        <v>111.95681455607871</v>
      </c>
      <c r="I10" s="31">
        <v>1</v>
      </c>
      <c r="K10" s="33">
        <v>880</v>
      </c>
      <c r="L10" s="26">
        <v>10</v>
      </c>
      <c r="M10" s="26">
        <v>0.059999999999999998</v>
      </c>
      <c r="N10" s="26">
        <f t="shared" si="43"/>
        <v>1408</v>
      </c>
      <c r="O10" s="31">
        <f t="shared" si="44"/>
        <v>255.68400143204863</v>
      </c>
      <c r="Q10" s="33">
        <v>180</v>
      </c>
      <c r="R10" s="48">
        <f t="shared" si="45"/>
        <v>547.64081598812731</v>
      </c>
      <c r="S10" s="103">
        <v>5</v>
      </c>
    </row>
    <row r="11">
      <c r="A11" s="40" t="s">
        <v>475</v>
      </c>
      <c r="B11" s="33">
        <v>33</v>
      </c>
      <c r="C11" s="26">
        <v>1</v>
      </c>
      <c r="D11" s="26">
        <v>6</v>
      </c>
      <c r="E11" s="26">
        <v>2.5</v>
      </c>
      <c r="F11" s="26">
        <f t="shared" si="47"/>
        <v>14.6</v>
      </c>
      <c r="G11" s="26">
        <v>400</v>
      </c>
      <c r="H11" s="26">
        <f t="shared" si="42"/>
        <v>78.175062685679308</v>
      </c>
      <c r="I11" s="31">
        <f t="shared" ref="I11:I16" si="48">(500/F11)/((500/F11)-(G11/300))</f>
        <v>1.0405105438401776</v>
      </c>
      <c r="J11" s="2"/>
      <c r="K11" s="33">
        <v>400</v>
      </c>
      <c r="L11" s="26">
        <v>3</v>
      </c>
      <c r="M11" s="26">
        <v>0.059999999999999998</v>
      </c>
      <c r="N11" s="26">
        <f t="shared" si="43"/>
        <v>472</v>
      </c>
      <c r="O11" s="31">
        <f t="shared" si="44"/>
        <v>85.712250480061755</v>
      </c>
      <c r="P11" s="2"/>
      <c r="Q11" s="33">
        <v>150</v>
      </c>
      <c r="R11" s="48">
        <f t="shared" si="45"/>
        <v>326.60305892661734</v>
      </c>
    </row>
    <row r="12">
      <c r="A12" s="40" t="s">
        <v>476</v>
      </c>
      <c r="B12" s="33">
        <v>4</v>
      </c>
      <c r="C12" s="26">
        <v>1</v>
      </c>
      <c r="D12" s="26">
        <v>4</v>
      </c>
      <c r="E12" s="104">
        <v>2.6499999999999999</v>
      </c>
      <c r="F12" s="26">
        <f t="shared" si="47"/>
        <v>2.4528301886792452</v>
      </c>
      <c r="G12" s="26">
        <v>400</v>
      </c>
      <c r="H12" s="26">
        <f t="shared" ref="H12:H17" si="49">F12*5.3544563483342</f>
        <v>13.133572175159356</v>
      </c>
      <c r="I12" s="31">
        <f t="shared" si="48"/>
        <v>1.0065839453026082</v>
      </c>
      <c r="J12" s="2"/>
      <c r="K12" s="33">
        <v>24</v>
      </c>
      <c r="L12" s="26">
        <v>6</v>
      </c>
      <c r="M12" s="26">
        <v>0.059999999999999998</v>
      </c>
      <c r="N12" s="26">
        <f t="shared" ref="N12:N17" si="50">K12*(L12*M12+1)</f>
        <v>32.640000000000001</v>
      </c>
      <c r="O12" s="31">
        <f t="shared" ref="O12:O17" si="51">N12*0.18159375101708</f>
        <v>5.9272200331974911</v>
      </c>
      <c r="P12" s="2"/>
      <c r="Q12" s="33">
        <v>10</v>
      </c>
      <c r="R12" s="48">
        <f t="shared" ref="R12:R17" si="52">(H12+O12+Q12)*I12</f>
        <v>29.25212687470713</v>
      </c>
      <c r="S12" s="103">
        <v>6</v>
      </c>
    </row>
    <row r="13">
      <c r="A13" s="40" t="s">
        <v>477</v>
      </c>
      <c r="B13" s="33">
        <v>29</v>
      </c>
      <c r="C13" s="26">
        <v>1</v>
      </c>
      <c r="D13" s="26">
        <v>6</v>
      </c>
      <c r="E13" s="26">
        <v>2.3500000000000001</v>
      </c>
      <c r="F13" s="26">
        <f t="shared" si="47"/>
        <v>13.829787234042552</v>
      </c>
      <c r="G13" s="26"/>
      <c r="H13" s="26">
        <f t="shared" si="49"/>
        <v>74.050992051430413</v>
      </c>
      <c r="I13" s="31">
        <v>1</v>
      </c>
      <c r="K13" s="33">
        <v>675</v>
      </c>
      <c r="L13" s="26">
        <v>8</v>
      </c>
      <c r="M13" s="26">
        <v>0.059999999999999998</v>
      </c>
      <c r="N13" s="26">
        <f t="shared" si="50"/>
        <v>999</v>
      </c>
      <c r="O13" s="31">
        <f t="shared" si="51"/>
        <v>181.41215726606293</v>
      </c>
      <c r="Q13" s="33">
        <v>40</v>
      </c>
      <c r="R13" s="48">
        <f t="shared" si="52"/>
        <v>295.46314931749333</v>
      </c>
      <c r="S13" s="103">
        <v>7</v>
      </c>
    </row>
    <row r="14">
      <c r="A14" s="40" t="s">
        <v>478</v>
      </c>
      <c r="B14" s="33">
        <v>61</v>
      </c>
      <c r="C14" s="26">
        <v>1</v>
      </c>
      <c r="D14" s="26">
        <v>12</v>
      </c>
      <c r="E14" s="26">
        <v>2.2999999999999998</v>
      </c>
      <c r="F14" s="26">
        <f t="shared" si="47"/>
        <v>29.347826086956523</v>
      </c>
      <c r="G14" s="26">
        <v>500</v>
      </c>
      <c r="H14" s="26">
        <f t="shared" si="49"/>
        <v>157.14165370111238</v>
      </c>
      <c r="I14" s="31">
        <f t="shared" si="48"/>
        <v>1.1084337349397591</v>
      </c>
      <c r="K14" s="33">
        <v>430</v>
      </c>
      <c r="L14" s="26">
        <v>0</v>
      </c>
      <c r="M14" s="26">
        <v>0.059999999999999998</v>
      </c>
      <c r="N14" s="26">
        <f t="shared" si="50"/>
        <v>430</v>
      </c>
      <c r="O14" s="31">
        <f t="shared" si="51"/>
        <v>78.085312937344398</v>
      </c>
      <c r="Q14" s="33">
        <v>55</v>
      </c>
      <c r="R14" s="48">
        <f t="shared" si="52"/>
        <v>321.69736061130146</v>
      </c>
      <c r="S14" s="103">
        <v>8</v>
      </c>
    </row>
    <row r="15">
      <c r="A15" s="40" t="s">
        <v>479</v>
      </c>
      <c r="B15" s="33">
        <v>6</v>
      </c>
      <c r="C15" s="26">
        <v>1</v>
      </c>
      <c r="D15" s="26">
        <v>3</v>
      </c>
      <c r="E15" s="26">
        <v>2.5</v>
      </c>
      <c r="F15" s="26">
        <f t="shared" si="47"/>
        <v>3.2000000000000002</v>
      </c>
      <c r="G15" s="26"/>
      <c r="H15" s="26">
        <f t="shared" si="49"/>
        <v>17.13426031466944</v>
      </c>
      <c r="I15" s="31">
        <f t="shared" si="48"/>
        <v>1</v>
      </c>
      <c r="K15" s="33">
        <v>115</v>
      </c>
      <c r="L15" s="26">
        <v>1</v>
      </c>
      <c r="M15" s="26">
        <v>0.059999999999999998</v>
      </c>
      <c r="N15" s="26">
        <f t="shared" si="50"/>
        <v>121.90000000000001</v>
      </c>
      <c r="O15" s="31">
        <f t="shared" si="51"/>
        <v>22.136278248982052</v>
      </c>
      <c r="Q15" s="33">
        <v>8</v>
      </c>
      <c r="R15" s="48">
        <f t="shared" si="52"/>
        <v>47.270538563651492</v>
      </c>
      <c r="S15" s="103">
        <v>9</v>
      </c>
    </row>
    <row r="16">
      <c r="A16" s="40" t="s">
        <v>480</v>
      </c>
      <c r="B16" s="33">
        <v>25</v>
      </c>
      <c r="C16" s="26">
        <v>1</v>
      </c>
      <c r="D16" s="26">
        <v>5</v>
      </c>
      <c r="E16" s="26">
        <v>2</v>
      </c>
      <c r="F16" s="26">
        <f t="shared" si="47"/>
        <v>14</v>
      </c>
      <c r="G16" s="26"/>
      <c r="H16" s="26">
        <f t="shared" si="49"/>
        <v>74.962388876678801</v>
      </c>
      <c r="I16" s="31">
        <f t="shared" si="48"/>
        <v>1</v>
      </c>
      <c r="K16" s="33">
        <v>775</v>
      </c>
      <c r="L16" s="26">
        <v>8</v>
      </c>
      <c r="M16" s="26">
        <v>0.059999999999999998</v>
      </c>
      <c r="N16" s="26">
        <f t="shared" si="50"/>
        <v>1147</v>
      </c>
      <c r="O16" s="31">
        <f t="shared" si="51"/>
        <v>208.28803241659077</v>
      </c>
      <c r="Q16" s="33">
        <v>60</v>
      </c>
      <c r="R16" s="48">
        <f t="shared" si="52"/>
        <v>343.2504212932696</v>
      </c>
    </row>
    <row r="17">
      <c r="A17" s="40" t="s">
        <v>481</v>
      </c>
      <c r="B17" s="36">
        <v>150</v>
      </c>
      <c r="C17" s="35">
        <v>1</v>
      </c>
      <c r="D17" s="35">
        <v>16</v>
      </c>
      <c r="E17" s="35">
        <v>2</v>
      </c>
      <c r="F17" s="35">
        <f t="shared" si="47"/>
        <v>79.25</v>
      </c>
      <c r="G17" s="35"/>
      <c r="H17" s="35">
        <f t="shared" si="49"/>
        <v>424.3406656054853</v>
      </c>
      <c r="I17" s="37">
        <v>1</v>
      </c>
      <c r="J17" s="46"/>
      <c r="K17" s="36">
        <v>7500</v>
      </c>
      <c r="L17" s="35">
        <v>16</v>
      </c>
      <c r="M17" s="35">
        <v>0.059999999999999998</v>
      </c>
      <c r="N17" s="35">
        <f t="shared" si="50"/>
        <v>14700</v>
      </c>
      <c r="O17" s="37">
        <f t="shared" si="51"/>
        <v>2669.428139951076</v>
      </c>
      <c r="P17" s="46"/>
      <c r="Q17" s="36">
        <v>300</v>
      </c>
      <c r="R17" s="105">
        <f t="shared" si="52"/>
        <v>3393.7688055565613</v>
      </c>
      <c r="S17" s="103">
        <v>10</v>
      </c>
    </row>
    <row r="18">
      <c r="A18" s="26"/>
      <c r="B18" s="26"/>
      <c r="C18" s="26"/>
      <c r="D18" s="26"/>
      <c r="E18" s="26"/>
      <c r="F18" s="26"/>
      <c r="G18" s="26"/>
      <c r="H18" s="26"/>
      <c r="I18" s="26"/>
      <c r="J18" s="46"/>
      <c r="K18" s="26"/>
      <c r="L18" s="26"/>
      <c r="M18" s="26"/>
      <c r="N18" s="26"/>
      <c r="O18" s="26"/>
      <c r="P18" s="46"/>
      <c r="Q18" s="26"/>
      <c r="R18" s="49"/>
    </row>
    <row r="19">
      <c r="A19" s="56" t="s">
        <v>153</v>
      </c>
      <c r="B19" s="106" t="s">
        <v>482</v>
      </c>
      <c r="C19" s="106" t="s">
        <v>483</v>
      </c>
      <c r="D19" s="106" t="s">
        <v>484</v>
      </c>
      <c r="E19" s="106" t="s">
        <v>485</v>
      </c>
      <c r="G19" s="107" t="s">
        <v>486</v>
      </c>
      <c r="H19" s="55" t="s">
        <v>152</v>
      </c>
      <c r="I19" s="56" t="s">
        <v>153</v>
      </c>
      <c r="J19" s="46"/>
      <c r="K19" s="26"/>
      <c r="L19" s="56" t="s">
        <v>153</v>
      </c>
      <c r="S19" s="55" t="s">
        <v>152</v>
      </c>
      <c r="T19" s="55" t="s">
        <v>487</v>
      </c>
    </row>
    <row r="20">
      <c r="A20" s="58">
        <v>1</v>
      </c>
      <c r="B20" s="57">
        <v>54</v>
      </c>
      <c r="C20" s="108">
        <f>R4</f>
        <v>6.4440188544366794</v>
      </c>
      <c r="D20" s="57">
        <v>1</v>
      </c>
      <c r="E20" s="108">
        <f>R5</f>
        <v>50.524450719404697</v>
      </c>
      <c r="G20" s="108">
        <f t="shared" ref="G20:G29" si="53">C20*B20+E20*D20</f>
        <v>398.50146885898539</v>
      </c>
      <c r="H20" s="57">
        <v>200</v>
      </c>
      <c r="I20" s="58">
        <v>1</v>
      </c>
      <c r="J20" s="46"/>
      <c r="K20" s="26"/>
      <c r="L20" s="58">
        <v>1</v>
      </c>
      <c r="S20" s="57">
        <v>200</v>
      </c>
      <c r="T20" s="57">
        <v>200</v>
      </c>
    </row>
    <row r="21">
      <c r="A21" s="58">
        <v>2</v>
      </c>
      <c r="B21" s="59">
        <v>6</v>
      </c>
      <c r="C21" s="109">
        <f t="shared" ref="C21:C22" si="54">R6</f>
        <v>65.315914646396124</v>
      </c>
      <c r="D21" s="59"/>
      <c r="E21" s="59"/>
      <c r="G21" s="109">
        <f t="shared" si="53"/>
        <v>391.89548787837674</v>
      </c>
      <c r="H21" s="59">
        <f t="shared" ref="H21:H40" si="55">H20+90+A20*30</f>
        <v>320</v>
      </c>
      <c r="I21" s="58">
        <v>2</v>
      </c>
      <c r="J21" s="46"/>
      <c r="K21" s="26"/>
      <c r="L21" s="58">
        <v>2</v>
      </c>
      <c r="S21" s="59">
        <f t="shared" ref="S21:S40" si="56">S20+90+L20*30</f>
        <v>320</v>
      </c>
      <c r="T21" s="59">
        <f t="shared" ref="T21:T40" si="57">S21+T20</f>
        <v>520</v>
      </c>
    </row>
    <row r="22">
      <c r="A22" s="58">
        <v>3</v>
      </c>
      <c r="B22" s="57">
        <v>44</v>
      </c>
      <c r="C22" s="108">
        <f t="shared" si="54"/>
        <v>14.793058059471212</v>
      </c>
      <c r="D22" s="57">
        <v>1</v>
      </c>
      <c r="E22" s="108">
        <f>R8</f>
        <v>110.72387010977488</v>
      </c>
      <c r="G22" s="108">
        <f t="shared" si="53"/>
        <v>761.61842472650824</v>
      </c>
      <c r="H22" s="59">
        <f t="shared" si="55"/>
        <v>470</v>
      </c>
      <c r="I22" s="58">
        <v>3</v>
      </c>
      <c r="J22" s="46"/>
      <c r="K22" s="46"/>
      <c r="L22" s="58">
        <v>3</v>
      </c>
      <c r="S22" s="59">
        <f t="shared" si="56"/>
        <v>470</v>
      </c>
      <c r="T22" s="59">
        <f t="shared" si="57"/>
        <v>990</v>
      </c>
    </row>
    <row r="23">
      <c r="A23" s="58">
        <v>4</v>
      </c>
      <c r="B23" s="59">
        <v>40</v>
      </c>
      <c r="C23" s="109">
        <f>R9</f>
        <v>21.209318072256671</v>
      </c>
      <c r="D23" s="59"/>
      <c r="E23" s="59"/>
      <c r="G23" s="109">
        <f t="shared" si="53"/>
        <v>848.37272289026691</v>
      </c>
      <c r="H23" s="59">
        <f t="shared" si="55"/>
        <v>650</v>
      </c>
      <c r="I23" s="58">
        <v>4</v>
      </c>
      <c r="J23" s="46"/>
      <c r="K23" s="46"/>
      <c r="L23" s="58">
        <v>4</v>
      </c>
      <c r="S23" s="59">
        <f t="shared" si="56"/>
        <v>650</v>
      </c>
      <c r="T23" s="59">
        <f t="shared" si="57"/>
        <v>1640</v>
      </c>
    </row>
    <row r="24">
      <c r="A24" s="58">
        <v>5</v>
      </c>
      <c r="B24" s="57">
        <v>2</v>
      </c>
      <c r="C24" s="108">
        <f>R10</f>
        <v>547.64081598812731</v>
      </c>
      <c r="D24" s="57">
        <v>1</v>
      </c>
      <c r="E24" s="108">
        <f>R11</f>
        <v>326.60305892661734</v>
      </c>
      <c r="G24" s="108">
        <f t="shared" si="53"/>
        <v>1421.8846909028721</v>
      </c>
      <c r="H24" s="59">
        <f t="shared" si="55"/>
        <v>860</v>
      </c>
      <c r="I24" s="58">
        <v>5</v>
      </c>
      <c r="J24" s="46"/>
      <c r="K24" s="46"/>
      <c r="L24" s="58">
        <v>5</v>
      </c>
      <c r="S24" s="59">
        <f t="shared" si="56"/>
        <v>860</v>
      </c>
      <c r="T24" s="59">
        <f t="shared" si="57"/>
        <v>2500</v>
      </c>
    </row>
    <row r="25">
      <c r="A25" s="58">
        <v>6</v>
      </c>
      <c r="B25" s="59">
        <v>65</v>
      </c>
      <c r="C25" s="109">
        <f t="shared" ref="C25:C28" si="58">R12</f>
        <v>29.25212687470713</v>
      </c>
      <c r="D25" s="59"/>
      <c r="E25" s="59"/>
      <c r="G25" s="109">
        <f t="shared" si="53"/>
        <v>1901.3882468559634</v>
      </c>
      <c r="H25" s="59">
        <f t="shared" si="55"/>
        <v>1100</v>
      </c>
      <c r="I25" s="58">
        <v>6</v>
      </c>
      <c r="J25" s="46"/>
      <c r="K25" s="46"/>
      <c r="L25" s="58">
        <v>6</v>
      </c>
      <c r="S25" s="59">
        <f t="shared" si="56"/>
        <v>1100</v>
      </c>
      <c r="T25" s="59">
        <f t="shared" si="57"/>
        <v>3600</v>
      </c>
    </row>
    <row r="26">
      <c r="A26" s="58">
        <v>7</v>
      </c>
      <c r="B26" s="57">
        <v>7</v>
      </c>
      <c r="C26" s="108">
        <f t="shared" si="58"/>
        <v>295.46314931749333</v>
      </c>
      <c r="D26" s="57"/>
      <c r="E26" s="57"/>
      <c r="G26" s="108">
        <f t="shared" si="53"/>
        <v>2068.2420452224533</v>
      </c>
      <c r="H26" s="59">
        <f t="shared" si="55"/>
        <v>1370</v>
      </c>
      <c r="I26" s="58">
        <v>7</v>
      </c>
      <c r="L26" s="58">
        <v>7</v>
      </c>
      <c r="S26" s="59">
        <f t="shared" si="56"/>
        <v>1370</v>
      </c>
      <c r="T26" s="59">
        <f t="shared" si="57"/>
        <v>4970</v>
      </c>
    </row>
    <row r="27">
      <c r="A27" s="58">
        <v>8</v>
      </c>
      <c r="B27" s="59">
        <v>8</v>
      </c>
      <c r="C27" s="109">
        <f t="shared" si="58"/>
        <v>321.69736061130146</v>
      </c>
      <c r="D27" s="59"/>
      <c r="E27" s="59"/>
      <c r="G27" s="109">
        <f t="shared" si="53"/>
        <v>2573.5788848904117</v>
      </c>
      <c r="H27" s="59">
        <f t="shared" si="55"/>
        <v>1670</v>
      </c>
      <c r="I27" s="58">
        <v>8</v>
      </c>
      <c r="L27" s="58">
        <v>8</v>
      </c>
      <c r="S27" s="59">
        <f t="shared" si="56"/>
        <v>1670</v>
      </c>
      <c r="T27" s="59">
        <f t="shared" si="57"/>
        <v>6640</v>
      </c>
    </row>
    <row r="28">
      <c r="A28" s="58">
        <v>9</v>
      </c>
      <c r="B28" s="57">
        <v>64</v>
      </c>
      <c r="C28" s="108">
        <f t="shared" si="58"/>
        <v>47.270538563651492</v>
      </c>
      <c r="D28" s="57">
        <v>1</v>
      </c>
      <c r="E28" s="108">
        <f>R16</f>
        <v>343.2504212932696</v>
      </c>
      <c r="G28" s="108">
        <f t="shared" si="53"/>
        <v>3368.564889366965</v>
      </c>
      <c r="H28" s="59">
        <f t="shared" si="55"/>
        <v>2000</v>
      </c>
      <c r="I28" s="58">
        <v>9</v>
      </c>
      <c r="L28" s="58">
        <v>9</v>
      </c>
      <c r="S28" s="59">
        <f t="shared" si="56"/>
        <v>2000</v>
      </c>
      <c r="T28" s="59">
        <f t="shared" si="57"/>
        <v>8640</v>
      </c>
    </row>
    <row r="29">
      <c r="A29" s="58">
        <v>10</v>
      </c>
      <c r="B29" s="59">
        <v>1</v>
      </c>
      <c r="C29" s="109">
        <f>R17</f>
        <v>3393.7688055565613</v>
      </c>
      <c r="D29" s="59"/>
      <c r="E29" s="59"/>
      <c r="G29" s="109">
        <f t="shared" si="53"/>
        <v>3393.7688055565613</v>
      </c>
      <c r="H29" s="59">
        <f t="shared" si="55"/>
        <v>2360</v>
      </c>
      <c r="I29" s="58">
        <v>10</v>
      </c>
      <c r="L29" s="58">
        <v>10</v>
      </c>
      <c r="S29" s="59">
        <f t="shared" si="56"/>
        <v>2360</v>
      </c>
      <c r="T29" s="59">
        <f t="shared" si="57"/>
        <v>11000</v>
      </c>
    </row>
    <row r="30">
      <c r="A30" s="58">
        <v>11</v>
      </c>
      <c r="H30" s="59">
        <f t="shared" si="55"/>
        <v>2750</v>
      </c>
      <c r="L30" s="58">
        <v>11</v>
      </c>
      <c r="S30" s="59">
        <f t="shared" si="56"/>
        <v>2750</v>
      </c>
      <c r="T30" s="59">
        <f t="shared" si="57"/>
        <v>13750</v>
      </c>
    </row>
    <row r="31">
      <c r="A31" s="58">
        <v>12</v>
      </c>
      <c r="H31" s="59">
        <f t="shared" si="55"/>
        <v>3170</v>
      </c>
      <c r="L31" s="58">
        <v>12</v>
      </c>
      <c r="S31" s="59">
        <f t="shared" si="56"/>
        <v>3170</v>
      </c>
      <c r="T31" s="59">
        <f t="shared" si="57"/>
        <v>16920</v>
      </c>
    </row>
    <row r="32">
      <c r="A32" s="58">
        <v>13</v>
      </c>
      <c r="H32" s="59">
        <f t="shared" si="55"/>
        <v>3620</v>
      </c>
      <c r="L32" s="58">
        <v>13</v>
      </c>
      <c r="S32" s="59">
        <f t="shared" si="56"/>
        <v>3620</v>
      </c>
      <c r="T32" s="59">
        <f t="shared" si="57"/>
        <v>20540</v>
      </c>
    </row>
    <row r="33">
      <c r="A33" s="58">
        <v>14</v>
      </c>
      <c r="H33" s="59">
        <f t="shared" si="55"/>
        <v>4100</v>
      </c>
      <c r="L33" s="58">
        <v>14</v>
      </c>
      <c r="S33" s="59">
        <f t="shared" si="56"/>
        <v>4100</v>
      </c>
      <c r="T33" s="59">
        <f t="shared" si="57"/>
        <v>24640</v>
      </c>
    </row>
    <row r="34">
      <c r="A34" s="58">
        <v>15</v>
      </c>
      <c r="H34" s="59">
        <f t="shared" si="55"/>
        <v>4610</v>
      </c>
      <c r="L34" s="58">
        <v>15</v>
      </c>
      <c r="S34" s="59">
        <f t="shared" si="56"/>
        <v>4610</v>
      </c>
      <c r="T34" s="59">
        <f t="shared" si="57"/>
        <v>29250</v>
      </c>
    </row>
    <row r="35">
      <c r="A35" s="58">
        <v>16</v>
      </c>
      <c r="H35" s="59">
        <f t="shared" si="55"/>
        <v>5150</v>
      </c>
      <c r="L35" s="58">
        <v>16</v>
      </c>
      <c r="S35" s="59">
        <f t="shared" si="56"/>
        <v>5150</v>
      </c>
      <c r="T35" s="59">
        <f t="shared" si="57"/>
        <v>34400</v>
      </c>
    </row>
    <row r="36">
      <c r="A36" s="58">
        <v>17</v>
      </c>
      <c r="H36" s="59">
        <f t="shared" si="55"/>
        <v>5720</v>
      </c>
      <c r="L36" s="58">
        <v>17</v>
      </c>
      <c r="S36" s="59">
        <f t="shared" si="56"/>
        <v>5720</v>
      </c>
      <c r="T36" s="59">
        <f t="shared" si="57"/>
        <v>40120</v>
      </c>
    </row>
    <row r="37">
      <c r="A37" s="58">
        <v>18</v>
      </c>
      <c r="H37" s="59">
        <f t="shared" si="55"/>
        <v>6320</v>
      </c>
      <c r="L37" s="58">
        <v>18</v>
      </c>
      <c r="S37" s="59">
        <f t="shared" si="56"/>
        <v>6320</v>
      </c>
      <c r="T37" s="59">
        <f t="shared" si="57"/>
        <v>46440</v>
      </c>
    </row>
    <row r="38">
      <c r="A38" s="58">
        <v>19</v>
      </c>
      <c r="H38" s="59">
        <f t="shared" si="55"/>
        <v>6950</v>
      </c>
      <c r="L38" s="58">
        <v>19</v>
      </c>
      <c r="S38" s="59">
        <f t="shared" si="56"/>
        <v>6950</v>
      </c>
      <c r="T38" s="59">
        <f t="shared" si="57"/>
        <v>53390</v>
      </c>
    </row>
    <row r="39">
      <c r="A39" s="58">
        <v>20</v>
      </c>
      <c r="H39" s="59">
        <f t="shared" si="55"/>
        <v>7610</v>
      </c>
      <c r="L39" s="58">
        <v>20</v>
      </c>
      <c r="S39" s="59">
        <f t="shared" si="56"/>
        <v>7610</v>
      </c>
      <c r="T39" s="59">
        <f t="shared" si="57"/>
        <v>61000</v>
      </c>
    </row>
    <row r="40">
      <c r="A40" s="58">
        <v>21</v>
      </c>
      <c r="H40" s="59">
        <f t="shared" si="55"/>
        <v>8300</v>
      </c>
      <c r="L40" s="58">
        <v>21</v>
      </c>
      <c r="S40" s="59">
        <f t="shared" si="56"/>
        <v>8300</v>
      </c>
      <c r="T40" s="59">
        <f t="shared" si="57"/>
        <v>69300</v>
      </c>
    </row>
  </sheetData>
  <mergeCells count="3">
    <mergeCell ref="B1:I1"/>
    <mergeCell ref="K1:O1"/>
    <mergeCell ref="Q1:R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priority="13" id="{0056002E-00C8-4F4F-B805-000B00500021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F17</xm:sqref>
        </x14:conditionalFormatting>
        <x14:conditionalFormatting xmlns:xm="http://schemas.microsoft.com/office/excel/2006/main">
          <x14:cfRule type="dataBar" priority="11" id="{007600DD-0061-4A44-92EF-005800A10097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N4:N11 N13:N18</xm:sqref>
        </x14:conditionalFormatting>
        <x14:conditionalFormatting xmlns:xm="http://schemas.microsoft.com/office/excel/2006/main">
          <x14:cfRule type="dataBar" priority="10" id="{00CF0035-002C-4FC0-8693-00D4001D00C0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R4:R11 R13:R18</xm:sqref>
        </x14:conditionalFormatting>
        <x14:conditionalFormatting xmlns:xm="http://schemas.microsoft.com/office/excel/2006/main">
          <x14:cfRule type="dataBar" priority="15" id="{004200F7-00CC-4021-8588-004300520051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R1:R11 R13:R18</xm:sqref>
        </x14:conditionalFormatting>
        <x14:conditionalFormatting xmlns:xm="http://schemas.microsoft.com/office/excel/2006/main">
          <x14:cfRule type="dataBar" priority="17" id="{006200C1-00C4-46CB-8CC4-00950002001C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N1:N11 N13:N18</xm:sqref>
        </x14:conditionalFormatting>
        <x14:conditionalFormatting xmlns:xm="http://schemas.microsoft.com/office/excel/2006/main">
          <x14:cfRule type="dataBar" priority="74" id="{003C0020-00F6-407B-8320-0018001A0065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F1:F11 F13:F14</xm:sqref>
        </x14:conditionalFormatting>
        <x14:conditionalFormatting xmlns:xm="http://schemas.microsoft.com/office/excel/2006/main">
          <x14:cfRule type="dataBar" priority="6" id="{007100A2-00EE-4D20-AAAE-00B900F40013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F12</xm:sqref>
        </x14:conditionalFormatting>
        <x14:conditionalFormatting xmlns:xm="http://schemas.microsoft.com/office/excel/2006/main">
          <x14:cfRule type="dataBar" priority="5" id="{00CE00A4-00A6-40B1-A115-00AF00E50041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N12</xm:sqref>
        </x14:conditionalFormatting>
        <x14:conditionalFormatting xmlns:xm="http://schemas.microsoft.com/office/excel/2006/main">
          <x14:cfRule type="dataBar" priority="4" id="{006300D6-00FB-4AFE-8D1D-0039003A00A9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R12</xm:sqref>
        </x14:conditionalFormatting>
        <x14:conditionalFormatting xmlns:xm="http://schemas.microsoft.com/office/excel/2006/main">
          <x14:cfRule type="dataBar" priority="7" id="{00F800CC-002D-4EE5-A4D0-000D00EF0015}">
            <x14:dataBar maxLength="100" minLength="0" axisPosition="automatic" direction="context" gradient="0">
              <x14:cfvo type="autoMin"/>
              <x14:cfvo type="autoMax"/>
              <x14:fillColor rgb="FFFFB628"/>
              <x14:negativeFillColor indexed="2"/>
              <x14:axisColor indexed="64"/>
            </x14:dataBar>
          </x14:cfRule>
          <xm:sqref>R12</xm:sqref>
        </x14:conditionalFormatting>
        <x14:conditionalFormatting xmlns:xm="http://schemas.microsoft.com/office/excel/2006/main">
          <x14:cfRule type="dataBar" priority="8" id="{00B500B2-006D-4F74-810D-00CB00850021}">
            <x14:dataBar maxLength="100" minLength="0" axisPosition="automatic" direction="context" gradient="0">
              <x14:cfvo type="autoMin"/>
              <x14:cfvo type="autoMax"/>
              <x14:fillColor rgb="FF63C384"/>
              <x14:negativeFillColor indexed="2"/>
              <x14:axisColor indexed="64"/>
            </x14:dataBar>
          </x14:cfRule>
          <xm:sqref>N12</xm:sqref>
        </x14:conditionalFormatting>
        <x14:conditionalFormatting xmlns:xm="http://schemas.microsoft.com/office/excel/2006/main">
          <x14:cfRule type="dataBar" priority="9" id="{00B100D1-00BB-4708-9F14-001700610052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F12</xm:sqref>
        </x14:conditionalFormatting>
        <x14:conditionalFormatting xmlns:xm="http://schemas.microsoft.com/office/excel/2006/main">
          <x14:cfRule type="dataBar" priority="3" id="{001B0057-00FB-4106-906F-0025000B00F5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R4:R17</xm:sqref>
        </x14:conditionalFormatting>
        <x14:conditionalFormatting xmlns:xm="http://schemas.microsoft.com/office/excel/2006/main">
          <x14:cfRule type="dataBar" priority="2" id="{00B200C7-0078-4791-833B-00AB006400EA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N4:N17</xm:sqref>
        </x14:conditionalFormatting>
        <x14:conditionalFormatting xmlns:xm="http://schemas.microsoft.com/office/excel/2006/main">
          <x14:cfRule type="dataBar" priority="1" id="{00510026-00A5-47FF-834E-00F3009200FD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F4:F17</xm:sqref>
        </x14:conditionalFormatting>
        <x14:conditionalFormatting xmlns:xm="http://schemas.microsoft.com/office/excel/2006/main">
          <x14:cfRule type="dataBar" priority="75" id="{00EE00BF-0026-43F9-83CB-0055003D0006}">
            <x14:dataBar maxLength="100" minLength="0" axisPosition="automatic" direction="context" gradient="0">
              <x14:cfvo type="autoMin"/>
              <x14:cfvo type="autoMax"/>
              <x14:fillColor rgb="FF638EC6"/>
              <x14:negativeFillColor indexed="2"/>
              <x14:axisColor indexed="64"/>
            </x14:dataBar>
          </x14:cfRule>
          <xm:sqref>F4:F11 F13:F18</xm:sqref>
        </x14:conditionalFormatting>
        <x14:conditionalFormatting xmlns:xm="http://schemas.microsoft.com/office/excel/2006/main">
          <x14:cfRule type="dataBar" priority="77" id="{00CA0052-0039-4FE0-AD05-00E200E40031}">
            <x14:dataBar maxLength="100" minLength="0" axisPosition="automatic" direction="context" gradient="0">
              <x14:cfvo type="autoMin"/>
              <x14:cfvo type="autoMax"/>
              <x14:fillColor rgb="FFFF555A"/>
              <x14:negativeFillColor indexed="2"/>
              <x14:axisColor indexed="64"/>
            </x14:dataBar>
          </x14:cfRule>
          <xm:sqref>F15:F18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r7-office/2026.2.1.2268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Константин Хамадов</cp:lastModifiedBy>
  <cp:revision>1</cp:revision>
  <dcterms:created xsi:type="dcterms:W3CDTF">2006-09-16T00:00:00Z</dcterms:created>
  <dcterms:modified xsi:type="dcterms:W3CDTF">2026-10-27T10:29:03Z</dcterms:modified>
</cp:coreProperties>
</file>